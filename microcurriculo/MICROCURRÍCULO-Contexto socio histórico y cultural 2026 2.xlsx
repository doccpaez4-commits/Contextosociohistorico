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FORMATO" sheetId="1" state="visible" r:id="rId1"/>
  </sheets>
  <externalReferences>
    <externalReference xmlns:r="http://schemas.openxmlformats.org/officeDocument/2006/relationships" r:id="rId2"/>
  </externalReferences>
  <definedNames>
    <definedName name="COMPETENCIAS_SELLO">[1]Listados!$D$4:$D$6</definedName>
    <definedName name="FACULTADES">[1]!Tabla1[[#All],[FACULTADES]]</definedName>
  </definedNames>
  <calcPr calcId="191029" fullCalcOnLoad="1"/>
</workbook>
</file>

<file path=xl/styles.xml><?xml version="1.0" encoding="utf-8"?>
<styleSheet xmlns="http://schemas.openxmlformats.org/spreadsheetml/2006/main">
  <numFmts count="2">
    <numFmt numFmtId="164" formatCode="00"/>
    <numFmt numFmtId="165" formatCode="d/m/yyyy"/>
  </numFmts>
  <fonts count="12">
    <font>
      <name val="Calibri"/>
      <color theme="1"/>
      <sz val="11"/>
      <scheme val="minor"/>
    </font>
    <font>
      <name val="Verdana"/>
      <family val="2"/>
      <color theme="1"/>
      <sz val="7"/>
    </font>
    <font>
      <name val="Calibri"/>
      <family val="2"/>
      <sz val="11"/>
    </font>
    <font>
      <name val="Verdana"/>
      <family val="2"/>
      <b val="1"/>
      <color theme="1"/>
      <sz val="7"/>
    </font>
    <font>
      <name val="Calibri"/>
      <family val="2"/>
      <color theme="1"/>
      <sz val="7"/>
    </font>
    <font>
      <name val="Verdana"/>
      <family val="2"/>
      <b val="1"/>
      <color theme="1"/>
      <sz val="8"/>
    </font>
    <font>
      <name val="Calibri"/>
      <family val="2"/>
      <color theme="1"/>
      <sz val="11"/>
    </font>
    <font>
      <name val="Verdana"/>
      <family val="2"/>
      <color theme="1"/>
      <sz val="11"/>
    </font>
    <font>
      <name val="Verdana"/>
      <family val="2"/>
      <color theme="1"/>
      <sz val="8"/>
    </font>
    <font>
      <name val="Verdana"/>
      <family val="2"/>
      <color theme="1"/>
      <sz val="12"/>
    </font>
    <font>
      <name val="Verdana"/>
      <family val="2"/>
      <color theme="0"/>
      <sz val="11"/>
    </font>
    <font>
      <name val="Verdana"/>
      <family val="2"/>
      <b val="1"/>
      <color theme="1"/>
      <sz val="11"/>
    </font>
  </fonts>
  <fills count="8">
    <fill>
      <patternFill/>
    </fill>
    <fill>
      <patternFill patternType="gray125"/>
    </fill>
    <fill>
      <patternFill patternType="solid">
        <fgColor theme="0"/>
        <bgColor theme="0"/>
      </patternFill>
    </fill>
    <fill>
      <patternFill patternType="solid">
        <fgColor rgb="FF78C043"/>
        <bgColor rgb="FF78C043"/>
      </patternFill>
    </fill>
    <fill>
      <patternFill patternType="solid">
        <fgColor rgb="FFEDEDED"/>
        <bgColor rgb="FFEDEDED"/>
      </patternFill>
    </fill>
    <fill>
      <patternFill patternType="solid">
        <fgColor rgb="FFA8D08D"/>
        <bgColor rgb="FFA8D08D"/>
      </patternFill>
    </fill>
    <fill>
      <patternFill patternType="solid">
        <fgColor rgb="FFC5E0B3"/>
        <bgColor rgb="FFC5E0B3"/>
      </patternFill>
    </fill>
    <fill>
      <patternFill patternType="solid">
        <fgColor rgb="FFE2EFD9"/>
        <bgColor rgb="FFE2EFD9"/>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27">
    <xf numFmtId="0" fontId="0" fillId="0" borderId="0" pivotButton="0" quotePrefix="0" xfId="0"/>
    <xf numFmtId="0" fontId="3" fillId="2" borderId="3" applyAlignment="1" pivotButton="0" quotePrefix="0" xfId="0">
      <alignment vertical="center" wrapText="1"/>
    </xf>
    <xf numFmtId="0" fontId="4" fillId="2" borderId="0" pivotButton="0" quotePrefix="0" xfId="0"/>
    <xf numFmtId="0" fontId="3" fillId="2" borderId="8" applyAlignment="1" pivotButton="0" quotePrefix="0" xfId="0">
      <alignment vertical="center" wrapText="1"/>
    </xf>
    <xf numFmtId="0" fontId="1" fillId="2" borderId="3" applyAlignment="1" pivotButton="0" quotePrefix="0" xfId="0">
      <alignment horizontal="center" vertical="center" wrapText="1"/>
    </xf>
    <xf numFmtId="164" fontId="1" fillId="2" borderId="3" applyAlignment="1" pivotButton="0" quotePrefix="0" xfId="0">
      <alignment horizontal="center" vertical="center" wrapText="1"/>
    </xf>
    <xf numFmtId="0" fontId="6" fillId="2" borderId="0" pivotButton="0" quotePrefix="0" xfId="0"/>
    <xf numFmtId="0" fontId="7" fillId="2" borderId="0" pivotButton="0" quotePrefix="0" xfId="0"/>
    <xf numFmtId="0" fontId="8" fillId="2" borderId="3" applyAlignment="1" pivotButton="0" quotePrefix="0" xfId="0">
      <alignment horizontal="center" vertical="center"/>
    </xf>
    <xf numFmtId="0" fontId="8" fillId="2" borderId="3" applyAlignment="1" pivotButton="0" quotePrefix="0" xfId="0">
      <alignment horizontal="center" vertical="center" wrapText="1"/>
    </xf>
    <xf numFmtId="0" fontId="10" fillId="2" borderId="0" applyAlignment="1" pivotButton="0" quotePrefix="0" xfId="0">
      <alignment horizontal="center" vertical="center"/>
    </xf>
    <xf numFmtId="1" fontId="8" fillId="2" borderId="1" applyAlignment="1" pivotButton="0" quotePrefix="0" xfId="0">
      <alignment horizontal="left" vertical="center" wrapText="1"/>
    </xf>
    <xf numFmtId="0" fontId="7" fillId="2" borderId="0" applyAlignment="1" pivotButton="0" quotePrefix="0" xfId="0">
      <alignment wrapText="1"/>
    </xf>
    <xf numFmtId="0" fontId="8" fillId="2" borderId="9" applyAlignment="1" pivotButton="0" quotePrefix="0" xfId="0">
      <alignment vertical="center" wrapText="1"/>
    </xf>
    <xf numFmtId="0" fontId="8" fillId="2" borderId="1" applyAlignment="1" pivotButton="0" quotePrefix="0" xfId="0">
      <alignment horizontal="left" vertical="center" wrapText="1"/>
    </xf>
    <xf numFmtId="0" fontId="5" fillId="2" borderId="3" applyAlignment="1" pivotButton="0" quotePrefix="0" xfId="0">
      <alignment horizontal="center" vertical="center"/>
    </xf>
    <xf numFmtId="0" fontId="11" fillId="2" borderId="0" applyAlignment="1" pivotButton="0" quotePrefix="0" xfId="0">
      <alignment horizontal="center"/>
    </xf>
    <xf numFmtId="0" fontId="8" fillId="2" borderId="3" applyAlignment="1" pivotButton="0" quotePrefix="0" xfId="0">
      <alignment vertical="center"/>
    </xf>
    <xf numFmtId="0" fontId="7" fillId="2" borderId="0" applyAlignment="1" pivotButton="0" quotePrefix="0" xfId="0">
      <alignment horizontal="center"/>
    </xf>
    <xf numFmtId="0" fontId="6" fillId="2" borderId="0" applyAlignment="1" pivotButton="0" quotePrefix="0" xfId="0">
      <alignment horizontal="center"/>
    </xf>
    <xf numFmtId="0" fontId="2" fillId="0" borderId="0" pivotButton="0" quotePrefix="0" xfId="0"/>
    <xf numFmtId="0" fontId="5" fillId="3" borderId="4" applyAlignment="1" pivotButton="0" quotePrefix="0" xfId="0">
      <alignment horizontal="center" vertical="center" wrapText="1"/>
    </xf>
    <xf numFmtId="0" fontId="2" fillId="0" borderId="5" pivotButton="0" quotePrefix="0" xfId="0"/>
    <xf numFmtId="0" fontId="2" fillId="0" borderId="6" pivotButton="0" quotePrefix="0" xfId="0"/>
    <xf numFmtId="1" fontId="5" fillId="2" borderId="4" applyAlignment="1" pivotButton="0" quotePrefix="0" xfId="0">
      <alignment horizontal="left" vertical="center"/>
    </xf>
    <xf numFmtId="0" fontId="8" fillId="2" borderId="4" applyAlignment="1" pivotButton="0" quotePrefix="0" xfId="0">
      <alignment horizontal="left" vertical="center"/>
    </xf>
    <xf numFmtId="0" fontId="5" fillId="2" borderId="4" applyAlignment="1" pivotButton="0" quotePrefix="0" xfId="0">
      <alignment horizontal="center" vertical="center"/>
    </xf>
    <xf numFmtId="165" fontId="8" fillId="2" borderId="4" applyAlignment="1" pivotButton="0" quotePrefix="0" xfId="0">
      <alignment horizontal="center" vertical="center"/>
    </xf>
    <xf numFmtId="0" fontId="1" fillId="2" borderId="1" applyAlignment="1" pivotButton="0" quotePrefix="0" xfId="0">
      <alignment horizontal="center" vertical="center" wrapText="1"/>
    </xf>
    <xf numFmtId="0" fontId="2" fillId="0" borderId="2" pivotButton="0" quotePrefix="0" xfId="0"/>
    <xf numFmtId="0" fontId="2" fillId="0" borderId="7" pivotButton="0" quotePrefix="0" xfId="0"/>
    <xf numFmtId="0" fontId="0" fillId="0" borderId="0" pivotButton="0" quotePrefix="0" xfId="0"/>
    <xf numFmtId="0" fontId="2" fillId="0" borderId="10" pivotButton="0" quotePrefix="0" xfId="0"/>
    <xf numFmtId="0" fontId="2" fillId="0" borderId="11" pivotButton="0" quotePrefix="0" xfId="0"/>
    <xf numFmtId="0" fontId="1" fillId="2" borderId="4" applyAlignment="1" pivotButton="0" quotePrefix="0" xfId="0">
      <alignment horizontal="left" vertical="center" wrapText="1"/>
    </xf>
    <xf numFmtId="0" fontId="3" fillId="2" borderId="4" applyAlignment="1" pivotButton="0" quotePrefix="0" xfId="0">
      <alignment horizontal="left" vertical="center" wrapText="1"/>
    </xf>
    <xf numFmtId="0" fontId="1" fillId="2" borderId="4" applyAlignment="1" pivotButton="0" quotePrefix="0" xfId="0">
      <alignment horizontal="center" vertical="center" wrapText="1"/>
    </xf>
    <xf numFmtId="0" fontId="5" fillId="2" borderId="1" applyAlignment="1" pivotButton="0" quotePrefix="0" xfId="0">
      <alignment horizontal="center" vertical="center" wrapText="1"/>
    </xf>
    <xf numFmtId="0" fontId="3" fillId="2" borderId="1" applyAlignment="1" pivotButton="0" quotePrefix="0" xfId="0">
      <alignment horizontal="left" vertical="center" wrapText="1"/>
    </xf>
    <xf numFmtId="0" fontId="2" fillId="0" borderId="9" pivotButton="0" quotePrefix="0" xfId="0"/>
    <xf numFmtId="0" fontId="2" fillId="0" borderId="12" pivotButton="0" quotePrefix="0" xfId="0"/>
    <xf numFmtId="0" fontId="5" fillId="2" borderId="10" applyAlignment="1" pivotButton="0" quotePrefix="0" xfId="0">
      <alignment horizontal="center" vertical="center" wrapText="1"/>
    </xf>
    <xf numFmtId="0" fontId="8" fillId="4" borderId="4" applyAlignment="1" pivotButton="0" quotePrefix="0" xfId="0">
      <alignment horizontal="center" vertical="center"/>
    </xf>
    <xf numFmtId="0" fontId="8" fillId="2" borderId="4" applyAlignment="1" pivotButton="0" quotePrefix="0" xfId="0">
      <alignment horizontal="center" vertical="center"/>
    </xf>
    <xf numFmtId="1" fontId="8" fillId="0" borderId="4" applyAlignment="1" pivotButton="0" quotePrefix="0" xfId="0">
      <alignment horizontal="left" vertical="center"/>
    </xf>
    <xf numFmtId="1" fontId="5" fillId="0" borderId="4" applyAlignment="1" pivotButton="0" quotePrefix="0" xfId="0">
      <alignment horizontal="center" vertical="center"/>
    </xf>
    <xf numFmtId="1" fontId="8" fillId="0" borderId="4" applyAlignment="1" pivotButton="0" quotePrefix="0" xfId="0">
      <alignment horizontal="center" vertical="center"/>
    </xf>
    <xf numFmtId="1" fontId="5" fillId="5" borderId="4" applyAlignment="1" pivotButton="0" quotePrefix="0" xfId="0">
      <alignment horizontal="center" vertical="center"/>
    </xf>
    <xf numFmtId="1" fontId="5" fillId="6" borderId="4" applyAlignment="1" pivotButton="0" quotePrefix="0" xfId="0">
      <alignment horizontal="center" vertical="center"/>
    </xf>
    <xf numFmtId="0" fontId="5" fillId="6" borderId="4" applyAlignment="1" pivotButton="0" quotePrefix="0" xfId="0">
      <alignment horizontal="center" vertical="center"/>
    </xf>
    <xf numFmtId="0" fontId="5" fillId="6" borderId="4" applyAlignment="1" pivotButton="0" quotePrefix="0" xfId="0">
      <alignment horizontal="center" vertical="center" wrapText="1"/>
    </xf>
    <xf numFmtId="0" fontId="5" fillId="7" borderId="4" applyAlignment="1" pivotButton="0" quotePrefix="0" xfId="0">
      <alignment horizontal="center" vertical="center"/>
    </xf>
    <xf numFmtId="1" fontId="5" fillId="2" borderId="4" applyAlignment="1" pivotButton="0" quotePrefix="0" xfId="0">
      <alignment horizontal="left" vertical="center" wrapText="1"/>
    </xf>
    <xf numFmtId="0" fontId="8" fillId="2" borderId="4" applyAlignment="1" pivotButton="0" quotePrefix="0" xfId="0">
      <alignment horizontal="left" vertical="center" wrapText="1"/>
    </xf>
    <xf numFmtId="0" fontId="2" fillId="0" borderId="5" applyAlignment="1" pivotButton="0" quotePrefix="0" xfId="0">
      <alignment wrapText="1"/>
    </xf>
    <xf numFmtId="0" fontId="2" fillId="0" borderId="6" applyAlignment="1" pivotButton="0" quotePrefix="0" xfId="0">
      <alignment wrapText="1"/>
    </xf>
    <xf numFmtId="1" fontId="8" fillId="2" borderId="4" applyAlignment="1" pivotButton="0" quotePrefix="0" xfId="0">
      <alignment horizontal="center" vertical="center"/>
    </xf>
    <xf numFmtId="0" fontId="8" fillId="0" borderId="4" applyAlignment="1" pivotButton="0" quotePrefix="0" xfId="0">
      <alignment horizontal="center" vertical="center"/>
    </xf>
    <xf numFmtId="1" fontId="5" fillId="7" borderId="1" applyAlignment="1" pivotButton="0" quotePrefix="0" xfId="0">
      <alignment horizontal="left" vertical="center" wrapText="1"/>
    </xf>
    <xf numFmtId="0" fontId="2" fillId="0" borderId="13" pivotButton="0" quotePrefix="0" xfId="0"/>
    <xf numFmtId="1" fontId="5" fillId="7" borderId="4" applyAlignment="1" pivotButton="0" quotePrefix="0" xfId="0">
      <alignment horizontal="center" vertical="center"/>
    </xf>
    <xf numFmtId="0" fontId="5" fillId="7"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5" applyAlignment="1" pivotButton="0" quotePrefix="0" xfId="0">
      <alignment horizontal="left" vertical="center" wrapText="1"/>
    </xf>
    <xf numFmtId="0" fontId="8" fillId="2" borderId="6" applyAlignment="1" pivotButton="0" quotePrefix="0" xfId="0">
      <alignment horizontal="left" vertical="center" wrapText="1"/>
    </xf>
    <xf numFmtId="0" fontId="9" fillId="0" borderId="6" applyAlignment="1" pivotButton="0" quotePrefix="0" xfId="0">
      <alignment horizontal="center" vertical="center" wrapText="1"/>
    </xf>
    <xf numFmtId="1" fontId="8" fillId="2" borderId="1" applyAlignment="1" pivotButton="0" quotePrefix="0" xfId="0">
      <alignment horizontal="left" vertical="center" wrapText="1"/>
    </xf>
    <xf numFmtId="0" fontId="8" fillId="2" borderId="2" applyAlignment="1" pivotButton="0" quotePrefix="0" xfId="0">
      <alignment horizontal="left" vertical="center" wrapText="1"/>
    </xf>
    <xf numFmtId="1" fontId="5" fillId="7" borderId="1" applyAlignment="1" pivotButton="0" quotePrefix="0" xfId="0">
      <alignment horizontal="center" vertical="center"/>
    </xf>
    <xf numFmtId="0" fontId="8" fillId="2" borderId="1" applyAlignment="1" pivotButton="0" quotePrefix="0" xfId="0">
      <alignment horizontal="left" vertical="center" wrapText="1"/>
    </xf>
    <xf numFmtId="0" fontId="2" fillId="0" borderId="2" applyAlignment="1" pivotButton="0" quotePrefix="0" xfId="0">
      <alignment wrapText="1"/>
    </xf>
    <xf numFmtId="0" fontId="2" fillId="0" borderId="9" applyAlignment="1" pivotButton="0" quotePrefix="0" xfId="0">
      <alignment wrapText="1"/>
    </xf>
    <xf numFmtId="0" fontId="2" fillId="0" borderId="7" applyAlignment="1" pivotButton="0" quotePrefix="0" xfId="0">
      <alignment wrapText="1"/>
    </xf>
    <xf numFmtId="0" fontId="0" fillId="0" borderId="0" applyAlignment="1" pivotButton="0" quotePrefix="0" xfId="0">
      <alignment wrapText="1"/>
    </xf>
    <xf numFmtId="0" fontId="2" fillId="0" borderId="13" applyAlignment="1" pivotButton="0" quotePrefix="0" xfId="0">
      <alignment wrapText="1"/>
    </xf>
    <xf numFmtId="0" fontId="2" fillId="0" borderId="10" applyAlignment="1" pivotButton="0" quotePrefix="0" xfId="0">
      <alignment wrapText="1"/>
    </xf>
    <xf numFmtId="0" fontId="2" fillId="0" borderId="11" applyAlignment="1" pivotButton="0" quotePrefix="0" xfId="0">
      <alignment wrapText="1"/>
    </xf>
    <xf numFmtId="0" fontId="2" fillId="0" borderId="12" applyAlignment="1" pivotButton="0" quotePrefix="0" xfId="0">
      <alignment wrapText="1"/>
    </xf>
    <xf numFmtId="0" fontId="8" fillId="2" borderId="5" applyAlignment="1" pivotButton="0" quotePrefix="0" xfId="0">
      <alignment horizontal="left" vertical="center"/>
    </xf>
    <xf numFmtId="0" fontId="8" fillId="2" borderId="6" applyAlignment="1" pivotButton="0" quotePrefix="0" xfId="0">
      <alignment horizontal="left" vertical="center"/>
    </xf>
    <xf numFmtId="1" fontId="5" fillId="7" borderId="4" applyAlignment="1" pivotButton="0" quotePrefix="0" xfId="0">
      <alignment horizontal="left" vertical="center" wrapText="1"/>
    </xf>
    <xf numFmtId="0" fontId="5" fillId="3" borderId="10" applyAlignment="1" pivotButton="0" quotePrefix="0" xfId="0">
      <alignment horizontal="center" vertical="center" wrapText="1"/>
    </xf>
    <xf numFmtId="0" fontId="8" fillId="2" borderId="1" applyAlignment="1" pivotButton="0" quotePrefix="0" xfId="0">
      <alignment horizontal="left" vertical="center"/>
    </xf>
    <xf numFmtId="1" fontId="5" fillId="2" borderId="4" applyAlignment="1" pivotButton="0" quotePrefix="0" xfId="0">
      <alignment horizontal="center" vertical="center"/>
    </xf>
    <xf numFmtId="1" fontId="8" fillId="2" borderId="4" applyAlignment="1" pivotButton="0" quotePrefix="0" xfId="0">
      <alignment horizontal="left" vertical="center" wrapText="1"/>
    </xf>
    <xf numFmtId="1" fontId="8" fillId="2" borderId="4" applyAlignment="1" pivotButton="0" quotePrefix="0" xfId="0">
      <alignment horizontal="left" vertical="center"/>
    </xf>
    <xf numFmtId="0" fontId="1" fillId="0" borderId="4" applyAlignment="1" pivotButton="0" quotePrefix="0" xfId="0">
      <alignment horizontal="left" vertical="center" wrapText="1"/>
    </xf>
    <xf numFmtId="0" fontId="0" fillId="0" borderId="2" pivotButton="0" quotePrefix="0" xfId="0"/>
    <xf numFmtId="0" fontId="1" fillId="2" borderId="3" applyAlignment="1" pivotButton="0" quotePrefix="0" xfId="0">
      <alignment horizontal="left" vertical="center" wrapText="1"/>
    </xf>
    <xf numFmtId="0" fontId="0" fillId="0" borderId="5" pivotButton="0" quotePrefix="0" xfId="0"/>
    <xf numFmtId="0" fontId="0" fillId="0" borderId="6" pivotButton="0" quotePrefix="0" xfId="0"/>
    <xf numFmtId="0" fontId="3" fillId="2" borderId="3" applyAlignment="1" pivotButton="0" quotePrefix="0" xfId="0">
      <alignment horizontal="left" vertical="center" wrapText="1"/>
    </xf>
    <xf numFmtId="0" fontId="0" fillId="0" borderId="7"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5" fillId="3" borderId="3" applyAlignment="1" pivotButton="0" quotePrefix="0" xfId="0">
      <alignment horizontal="center" vertical="center" wrapText="1"/>
    </xf>
    <xf numFmtId="1" fontId="5" fillId="2" borderId="3" applyAlignment="1" pivotButton="0" quotePrefix="0" xfId="0">
      <alignment horizontal="left" vertical="center"/>
    </xf>
    <xf numFmtId="0" fontId="8" fillId="2" borderId="3" applyAlignment="1" pivotButton="0" quotePrefix="0" xfId="0">
      <alignment horizontal="left" vertical="center"/>
    </xf>
    <xf numFmtId="165" fontId="8" fillId="2" borderId="3" applyAlignment="1" pivotButton="0" quotePrefix="0" xfId="0">
      <alignment horizontal="center" vertical="center"/>
    </xf>
    <xf numFmtId="0" fontId="8" fillId="4" borderId="3" applyAlignment="1" pivotButton="0" quotePrefix="0" xfId="0">
      <alignment horizontal="center" vertical="center"/>
    </xf>
    <xf numFmtId="1" fontId="8" fillId="0" borderId="3" applyAlignment="1" pivotButton="0" quotePrefix="0" xfId="0">
      <alignment horizontal="left" vertical="center"/>
    </xf>
    <xf numFmtId="1" fontId="5" fillId="0" borderId="3" applyAlignment="1" pivotButton="0" quotePrefix="0" xfId="0">
      <alignment horizontal="center" vertical="center"/>
    </xf>
    <xf numFmtId="1" fontId="8" fillId="0" borderId="3" applyAlignment="1" pivotButton="0" quotePrefix="0" xfId="0">
      <alignment horizontal="center" vertical="center"/>
    </xf>
    <xf numFmtId="1" fontId="5" fillId="5" borderId="3" applyAlignment="1" pivotButton="0" quotePrefix="0" xfId="0">
      <alignment horizontal="center" vertical="center"/>
    </xf>
    <xf numFmtId="1" fontId="5" fillId="6" borderId="3" applyAlignment="1" pivotButton="0" quotePrefix="0" xfId="0">
      <alignment horizontal="center" vertical="center"/>
    </xf>
    <xf numFmtId="0" fontId="5" fillId="6" borderId="3" applyAlignment="1" pivotButton="0" quotePrefix="0" xfId="0">
      <alignment horizontal="center" vertical="center"/>
    </xf>
    <xf numFmtId="0" fontId="5" fillId="6" borderId="3" applyAlignment="1" pivotButton="0" quotePrefix="0" xfId="0">
      <alignment horizontal="center" vertical="center" wrapText="1"/>
    </xf>
    <xf numFmtId="1" fontId="8" fillId="2" borderId="3" applyAlignment="1" pivotButton="0" quotePrefix="0" xfId="0">
      <alignment horizontal="center" vertical="center"/>
    </xf>
    <xf numFmtId="0" fontId="5" fillId="7" borderId="3" applyAlignment="1" pivotButton="0" quotePrefix="0" xfId="0">
      <alignment horizontal="center" vertical="center"/>
    </xf>
    <xf numFmtId="0" fontId="8" fillId="0" borderId="3" applyAlignment="1" pivotButton="0" quotePrefix="0" xfId="0">
      <alignment horizontal="center" vertical="center"/>
    </xf>
    <xf numFmtId="1" fontId="5" fillId="2" borderId="3" applyAlignment="1" pivotButton="0" quotePrefix="0" xfId="0">
      <alignment horizontal="left" vertical="center" wrapText="1"/>
    </xf>
    <xf numFmtId="0" fontId="8" fillId="2" borderId="3" applyAlignment="1" pivotButton="0" quotePrefix="0" xfId="0">
      <alignment horizontal="left" vertical="center" wrapText="1"/>
    </xf>
    <xf numFmtId="1" fontId="5" fillId="7" borderId="3" applyAlignment="1" pivotButton="0" quotePrefix="0" xfId="0">
      <alignment horizontal="left" vertical="center" wrapText="1"/>
    </xf>
    <xf numFmtId="1" fontId="5" fillId="7" borderId="3" applyAlignment="1" pivotButton="0" quotePrefix="0" xfId="0">
      <alignment horizontal="center" vertical="center"/>
    </xf>
    <xf numFmtId="0" fontId="5" fillId="7" borderId="3" applyAlignment="1" pivotButton="0" quotePrefix="0" xfId="0">
      <alignment horizontal="center" vertical="center" wrapText="1"/>
    </xf>
    <xf numFmtId="0" fontId="0" fillId="0" borderId="13" pivotButton="0" quotePrefix="0" xfId="0"/>
    <xf numFmtId="0" fontId="9" fillId="0" borderId="3" applyAlignment="1" pivotButton="0" quotePrefix="0" xfId="0">
      <alignment horizontal="center" vertical="center" wrapText="1"/>
    </xf>
    <xf numFmtId="1" fontId="5" fillId="7" borderId="8" applyAlignment="1" pivotButton="0" quotePrefix="0" xfId="0">
      <alignment horizontal="left" vertical="center" wrapText="1"/>
    </xf>
    <xf numFmtId="1" fontId="8" fillId="2" borderId="8" applyAlignment="1" pivotButton="0" quotePrefix="0" xfId="0">
      <alignment horizontal="left" vertical="center" wrapText="1"/>
    </xf>
    <xf numFmtId="0" fontId="8" fillId="2" borderId="9" applyAlignment="1" pivotButton="0" quotePrefix="0" xfId="0">
      <alignment horizontal="left" vertical="center" wrapText="1"/>
    </xf>
    <xf numFmtId="0" fontId="5" fillId="3" borderId="14" applyAlignment="1" pivotButton="0" quotePrefix="0" xfId="0">
      <alignment horizontal="center" vertical="center" wrapText="1"/>
    </xf>
    <xf numFmtId="1" fontId="5" fillId="2" borderId="3" applyAlignment="1" pivotButton="0" quotePrefix="0" xfId="0">
      <alignment horizontal="center" vertical="center"/>
    </xf>
    <xf numFmtId="1" fontId="8" fillId="2" borderId="3" applyAlignment="1" pivotButton="0" quotePrefix="0" xfId="0">
      <alignment horizontal="left" vertical="center" wrapText="1"/>
    </xf>
    <xf numFmtId="1" fontId="8" fillId="2" borderId="3" applyAlignment="1" pivotButton="0" quotePrefix="0" xfId="0">
      <alignment horizontal="left" vertical="center"/>
    </xf>
    <xf numFmtId="0" fontId="1" fillId="0" borderId="3" applyAlignment="1" pivotButton="0" quotePrefix="0" xfId="0">
      <alignment horizontal="left" vertical="center" wrapText="1"/>
    </xf>
  </cellXfs>
  <cellStyles count="1">
    <cellStyle name="Normal" xfId="0" builtinId="0"/>
  </cellStyles>
  <dxfs count="8">
    <dxf>
      <fill>
        <patternFill patternType="solid">
          <fgColor rgb="FFFEF2CB"/>
          <bgColor rgb="FFFEF2CB"/>
        </patternFill>
      </fill>
    </dxf>
    <dxf>
      <font>
        <color rgb="FFEDEDED"/>
      </font>
      <fill>
        <patternFill patternType="solid">
          <fgColor rgb="FFECECEC"/>
          <bgColor rgb="FFECECEC"/>
        </patternFill>
      </fill>
    </dxf>
    <dxf>
      <font>
        <color rgb="FFEDEDED"/>
      </font>
      <fill>
        <patternFill patternType="solid">
          <fgColor rgb="FFECECEC"/>
          <bgColor rgb="FFECECEC"/>
        </patternFill>
      </fill>
    </dxf>
    <dxf>
      <font>
        <color rgb="FFECECEC"/>
      </font>
      <fill>
        <patternFill patternType="solid">
          <fgColor rgb="FFECECEC"/>
          <bgColor rgb="FFECECEC"/>
        </patternFill>
      </fill>
    </dxf>
    <dxf>
      <font>
        <color rgb="FFEDEDED"/>
      </font>
      <fill>
        <patternFill patternType="solid">
          <fgColor rgb="FFECECEC"/>
          <bgColor rgb="FFECECEC"/>
        </patternFill>
      </fill>
    </dxf>
    <dxf>
      <font>
        <color rgb="FFECECEC"/>
      </font>
      <fill>
        <patternFill patternType="solid">
          <fgColor rgb="FFECECEC"/>
          <bgColor rgb="FFECECEC"/>
        </patternFill>
      </fill>
    </dxf>
    <dxf>
      <fill>
        <patternFill patternType="solid">
          <fgColor rgb="FFFEF2CB"/>
          <bgColor rgb="FFFEF2CB"/>
        </patternFill>
      </fill>
    </dxf>
    <dxf>
      <fill>
        <patternFill patternType="solid">
          <fgColor rgb="FFF8A19A"/>
          <bgColor rgb="FFF8A19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180975</colOff>
      <row>0</row>
      <rowOff>200025</rowOff>
    </from>
    <ext cx="1562100" cy="514350"/>
    <pic>
      <nvPicPr>
        <cNvPr id="2" name="image2.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80975" y="200025"/>
          <a:ext cx="1562100" cy="5143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561975</colOff>
      <row>49</row>
      <rowOff>57150</rowOff>
    </from>
    <ext cx="95250" cy="76200"/>
    <pic>
      <nvPicPr>
        <cNvPr id="3" name="image1.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2473325" y="13817600"/>
          <a:ext cx="95250" cy="762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externalLinks/_rels/externalLink1.xml.rels><Relationships xmlns="http://schemas.openxmlformats.org/package/2006/relationships"><Relationship Type="http://schemas.openxmlformats.org/officeDocument/2006/relationships/externalLinkPath" Target="file:///G:\Mi%20unidad\STEPHANIE%20ATANACHE\2022\Curricular\Pregrado\F-micro-Virt-Pregr-RC-V3.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Instructivo"/>
      <sheetName val="Microcurrículo"/>
      <sheetName val="Reporte R&amp;C Asignatura"/>
      <sheetName val="Competencias Genéricas"/>
      <sheetName val="Listados"/>
      <sheetName val="Microcurrículo Formato"/>
      <sheetName val="Lista"/>
      <sheetName val="F-micro-Virt-Pregr-RC-V3"/>
    </sheetNames>
    <sheetDataSet>
      <sheetData sheetId="0"/>
      <sheetData sheetId="1"/>
      <sheetData sheetId="2"/>
      <sheetData sheetId="3"/>
      <sheetData sheetId="4"/>
      <sheetData sheetId="5"/>
      <sheetData sheetId="6"/>
      <sheetData sheetId="7"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Z1000"/>
  <sheetViews>
    <sheetView tabSelected="1" zoomScale="90" zoomScaleNormal="90" workbookViewId="0">
      <pane ySplit="5" topLeftCell="A6" activePane="bottomLeft" state="frozen"/>
      <selection pane="bottomLeft" activeCell="D88" sqref="D88:S88"/>
    </sheetView>
  </sheetViews>
  <sheetFormatPr baseColWidth="10" defaultColWidth="14.453125" defaultRowHeight="15" customHeight="1"/>
  <cols>
    <col width="6.08984375" customWidth="1" style="31" min="1" max="1"/>
    <col width="6.81640625" customWidth="1" style="31" min="2" max="2"/>
    <col width="14.453125" customWidth="1" style="31" min="3" max="3"/>
    <col width="15.7265625" customWidth="1" style="31" min="4" max="4"/>
    <col width="10.7265625" customWidth="1" style="31" min="5" max="5"/>
    <col width="16.81640625" customWidth="1" style="31" min="6" max="6"/>
    <col width="10.7265625" customWidth="1" style="31" min="7" max="7"/>
    <col width="15.7265625" customWidth="1" style="31" min="8" max="8"/>
    <col width="10.7265625" customWidth="1" style="31" min="9" max="9"/>
    <col width="12.453125" customWidth="1" style="31" min="10" max="10"/>
    <col width="15" customWidth="1" style="31" min="11" max="11"/>
    <col width="10.7265625" customWidth="1" style="31" min="12" max="12"/>
    <col width="12.7265625" customWidth="1" style="31" min="13" max="13"/>
    <col width="17" customWidth="1" style="31" min="14" max="14"/>
    <col width="10.26953125" customWidth="1" style="31" min="15" max="15"/>
    <col width="8.453125" customWidth="1" style="31" min="16" max="16"/>
    <col width="5.453125" customWidth="1" style="31" min="17" max="19"/>
    <col width="10.81640625" customWidth="1" style="31" min="20" max="26"/>
  </cols>
  <sheetData>
    <row r="1" ht="20.25" customHeight="1" s="31">
      <c r="A1" s="36" t="n"/>
      <c r="B1" s="87" t="n"/>
      <c r="C1" s="87" t="n"/>
      <c r="D1" s="1" t="inlineStr">
        <is>
          <t>MACROPROCESO:</t>
        </is>
      </c>
      <c r="E1" s="88" t="inlineStr">
        <is>
          <t>GESTIÓN ACADÉMICA</t>
        </is>
      </c>
      <c r="F1" s="89" t="n"/>
      <c r="G1" s="89" t="n"/>
      <c r="H1" s="89" t="n"/>
      <c r="I1" s="89" t="n"/>
      <c r="J1" s="89" t="n"/>
      <c r="K1" s="89" t="n"/>
      <c r="L1" s="89" t="n"/>
      <c r="M1" s="89" t="n"/>
      <c r="N1" s="90" t="n"/>
      <c r="O1" s="91" t="inlineStr">
        <is>
          <t>CÓDIGO:</t>
        </is>
      </c>
      <c r="P1" s="90" t="n"/>
      <c r="Q1" s="4" t="inlineStr">
        <is>
          <t>MGA-CU-P02-F04</t>
        </is>
      </c>
      <c r="R1" s="89" t="n"/>
      <c r="S1" s="90" t="n"/>
      <c r="T1" s="2" t="n"/>
      <c r="U1" s="2" t="n"/>
      <c r="V1" s="2" t="n"/>
      <c r="W1" s="2" t="n"/>
      <c r="X1" s="2" t="n"/>
      <c r="Y1" s="2" t="n"/>
      <c r="Z1" s="2" t="n"/>
    </row>
    <row r="2" ht="20.25" customHeight="1" s="31">
      <c r="A2" s="92" t="n"/>
      <c r="D2" s="3" t="inlineStr">
        <is>
          <t>PROCESO:</t>
        </is>
      </c>
      <c r="E2" s="88" t="inlineStr">
        <is>
          <t>GESTIÓN CURRICULAR</t>
        </is>
      </c>
      <c r="F2" s="89" t="n"/>
      <c r="G2" s="89" t="n"/>
      <c r="H2" s="89" t="n"/>
      <c r="I2" s="89" t="n"/>
      <c r="J2" s="89" t="n"/>
      <c r="K2" s="89" t="n"/>
      <c r="L2" s="89" t="n"/>
      <c r="M2" s="89" t="n"/>
      <c r="N2" s="90" t="n"/>
      <c r="O2" s="91" t="inlineStr">
        <is>
          <t>VERSIÓN:</t>
        </is>
      </c>
      <c r="P2" s="90" t="n"/>
      <c r="Q2" s="4" t="n">
        <v>1</v>
      </c>
      <c r="R2" s="89" t="n"/>
      <c r="S2" s="90" t="n"/>
      <c r="T2" s="2" t="n"/>
      <c r="U2" s="2" t="n"/>
      <c r="V2" s="2" t="n"/>
      <c r="W2" s="2" t="n"/>
      <c r="X2" s="2" t="n"/>
      <c r="Y2" s="2" t="n"/>
      <c r="Z2" s="2" t="n"/>
    </row>
    <row r="3" ht="14.25" customHeight="1" s="31">
      <c r="A3" s="92" t="n"/>
      <c r="D3" s="37" t="inlineStr">
        <is>
          <t>FORMATO</t>
        </is>
      </c>
      <c r="E3" s="87" t="n"/>
      <c r="F3" s="87" t="n"/>
      <c r="G3" s="87" t="n"/>
      <c r="H3" s="87" t="n"/>
      <c r="I3" s="87" t="n"/>
      <c r="J3" s="87" t="n"/>
      <c r="K3" s="87" t="n"/>
      <c r="L3" s="87" t="n"/>
      <c r="M3" s="87" t="n"/>
      <c r="N3" s="87" t="n"/>
      <c r="O3" s="91" t="inlineStr">
        <is>
          <t>FECHA DE ACTUALIZACIÓN:</t>
        </is>
      </c>
      <c r="P3" s="93" t="n"/>
      <c r="Q3" s="4" t="inlineStr">
        <is>
          <t>DD</t>
        </is>
      </c>
      <c r="R3" s="4" t="inlineStr">
        <is>
          <t>MM</t>
        </is>
      </c>
      <c r="S3" s="4" t="inlineStr">
        <is>
          <t>AAAA</t>
        </is>
      </c>
      <c r="T3" s="2" t="n"/>
      <c r="U3" s="2" t="n"/>
      <c r="V3" s="2" t="n"/>
      <c r="W3" s="2" t="n"/>
      <c r="X3" s="2" t="n"/>
      <c r="Y3" s="2" t="n"/>
      <c r="Z3" s="2" t="n"/>
    </row>
    <row r="4" ht="20.25" customHeight="1" s="31">
      <c r="A4" s="94" t="n"/>
      <c r="B4" s="95" t="n"/>
      <c r="C4" s="95" t="n"/>
      <c r="D4" s="41" t="inlineStr">
        <is>
          <t>MICROCURRÍCULO POSGRADO MODALIDAD PRESENCIAL Y DISTANCIA</t>
        </is>
      </c>
      <c r="E4" s="95" t="n"/>
      <c r="F4" s="95" t="n"/>
      <c r="G4" s="95" t="n"/>
      <c r="H4" s="95" t="n"/>
      <c r="I4" s="95" t="n"/>
      <c r="J4" s="95" t="n"/>
      <c r="K4" s="95" t="n"/>
      <c r="L4" s="95" t="n"/>
      <c r="M4" s="95" t="n"/>
      <c r="N4" s="95" t="n"/>
      <c r="O4" s="94" t="n"/>
      <c r="P4" s="96" t="n"/>
      <c r="Q4" s="5" t="n">
        <v>28</v>
      </c>
      <c r="R4" s="5" t="n">
        <v>4</v>
      </c>
      <c r="S4" s="4" t="n">
        <v>2022</v>
      </c>
      <c r="T4" s="2" t="n"/>
      <c r="U4" s="2" t="n"/>
      <c r="V4" s="2" t="n"/>
      <c r="W4" s="2" t="n"/>
      <c r="X4" s="2" t="n"/>
      <c r="Y4" s="2" t="n"/>
      <c r="Z4" s="2" t="n"/>
    </row>
    <row r="5" ht="5.25" customHeight="1" s="31">
      <c r="A5" s="19" t="n"/>
      <c r="T5" s="6" t="n"/>
      <c r="U5" s="6" t="n"/>
      <c r="V5" s="6" t="n"/>
      <c r="W5" s="6" t="n"/>
      <c r="X5" s="6" t="n"/>
      <c r="Y5" s="6" t="n"/>
      <c r="Z5" s="6" t="n"/>
    </row>
    <row r="6" ht="14.25" customHeight="1" s="31">
      <c r="A6" s="97" t="inlineStr">
        <is>
          <t>1. DATOS GENERALES DE LA ASIGNATURA</t>
        </is>
      </c>
      <c r="B6" s="89" t="n"/>
      <c r="C6" s="89" t="n"/>
      <c r="D6" s="89" t="n"/>
      <c r="E6" s="89" t="n"/>
      <c r="F6" s="89" t="n"/>
      <c r="G6" s="89" t="n"/>
      <c r="H6" s="89" t="n"/>
      <c r="I6" s="89" t="n"/>
      <c r="J6" s="89" t="n"/>
      <c r="K6" s="89" t="n"/>
      <c r="L6" s="89" t="n"/>
      <c r="M6" s="89" t="n"/>
      <c r="N6" s="89" t="n"/>
      <c r="O6" s="89" t="n"/>
      <c r="P6" s="89" t="n"/>
      <c r="Q6" s="89" t="n"/>
      <c r="R6" s="89" t="n"/>
      <c r="S6" s="90" t="n"/>
      <c r="T6" s="7" t="n"/>
      <c r="U6" s="7" t="n"/>
      <c r="V6" s="7" t="n"/>
      <c r="W6" s="7" t="n"/>
      <c r="X6" s="7" t="n"/>
      <c r="Y6" s="7" t="n"/>
      <c r="Z6" s="7" t="n"/>
    </row>
    <row r="7" ht="15" customHeight="1" s="31">
      <c r="A7" s="98" t="inlineStr">
        <is>
          <t>NOMBRE DE LA ASIGNATURA:</t>
        </is>
      </c>
      <c r="B7" s="89" t="n"/>
      <c r="C7" s="90" t="n"/>
      <c r="D7" s="99" t="inlineStr">
        <is>
          <t xml:space="preserve">CONTEXTO SOCIO HISTÓRICO Y CULTURAL EN SALUD PÚBLICA 						</t>
        </is>
      </c>
      <c r="E7" s="89" t="n"/>
      <c r="F7" s="89" t="n"/>
      <c r="G7" s="89" t="n"/>
      <c r="H7" s="89" t="n"/>
      <c r="I7" s="89" t="n"/>
      <c r="J7" s="89" t="n"/>
      <c r="K7" s="89" t="n"/>
      <c r="L7" s="89" t="n"/>
      <c r="M7" s="89" t="n"/>
      <c r="N7" s="89" t="n"/>
      <c r="O7" s="89" t="n"/>
      <c r="P7" s="89" t="n"/>
      <c r="Q7" s="89" t="n"/>
      <c r="R7" s="89" t="n"/>
      <c r="S7" s="90" t="n"/>
      <c r="T7" s="7" t="n"/>
      <c r="U7" s="7" t="n"/>
      <c r="V7" s="7" t="n"/>
      <c r="W7" s="7" t="n"/>
      <c r="X7" s="7" t="n"/>
      <c r="Y7" s="7" t="n"/>
      <c r="Z7" s="7" t="n"/>
    </row>
    <row r="8" ht="15" customHeight="1" s="31">
      <c r="A8" s="98" t="inlineStr">
        <is>
          <t>FACULTAD:</t>
        </is>
      </c>
      <c r="B8" s="90" t="n"/>
      <c r="C8" s="99" t="inlineStr">
        <is>
          <t>Ciencias_de_la_Salud_y_del_Deporte</t>
        </is>
      </c>
      <c r="D8" s="89" t="n"/>
      <c r="E8" s="89" t="n"/>
      <c r="F8" s="89" t="n"/>
      <c r="G8" s="89" t="n"/>
      <c r="H8" s="89" t="n"/>
      <c r="I8" s="89" t="n"/>
      <c r="J8" s="89" t="n"/>
      <c r="K8" s="90" t="n"/>
      <c r="L8" s="15" t="inlineStr">
        <is>
          <t>FECHA DE ELABORACIÓN:</t>
        </is>
      </c>
      <c r="M8" s="89" t="n"/>
      <c r="N8" s="90" t="n"/>
      <c r="O8" s="100" t="n">
        <v>43570</v>
      </c>
      <c r="P8" s="89" t="n"/>
      <c r="Q8" s="89" t="n"/>
      <c r="R8" s="89" t="n"/>
      <c r="S8" s="90" t="n"/>
      <c r="T8" s="7" t="n"/>
      <c r="U8" s="7" t="n"/>
      <c r="V8" s="7" t="n"/>
      <c r="W8" s="7" t="n"/>
      <c r="X8" s="7" t="n"/>
      <c r="Y8" s="7" t="n"/>
      <c r="Z8" s="7" t="n"/>
    </row>
    <row r="9" ht="15" customHeight="1" s="31">
      <c r="A9" s="98" t="inlineStr">
        <is>
          <t>PROGRAMA:</t>
        </is>
      </c>
      <c r="B9" s="90" t="n"/>
      <c r="C9" s="99" t="inlineStr">
        <is>
          <t xml:space="preserve">MAESTRÍA EN SALUD PÚBLICA </t>
        </is>
      </c>
      <c r="D9" s="89" t="n"/>
      <c r="E9" s="89" t="n"/>
      <c r="F9" s="89" t="n"/>
      <c r="G9" s="89" t="n"/>
      <c r="H9" s="89" t="n"/>
      <c r="I9" s="89" t="n"/>
      <c r="J9" s="89" t="n"/>
      <c r="K9" s="90" t="n"/>
      <c r="L9" s="15" t="inlineStr">
        <is>
          <t>FECHA DE ACTUALIZACIÓN:</t>
        </is>
      </c>
      <c r="M9" s="89" t="n"/>
      <c r="N9" s="90" t="n"/>
      <c r="O9" s="100" t="n">
        <v>46090</v>
      </c>
      <c r="P9" s="89" t="n"/>
      <c r="Q9" s="89" t="n"/>
      <c r="R9" s="89" t="n"/>
      <c r="S9" s="90" t="n"/>
      <c r="T9" s="7" t="n"/>
      <c r="U9" s="7" t="n"/>
      <c r="V9" s="7" t="n"/>
      <c r="W9" s="7" t="n"/>
      <c r="X9" s="7" t="n"/>
      <c r="Y9" s="7" t="n"/>
      <c r="Z9" s="7" t="n"/>
    </row>
    <row r="10" ht="15" customHeight="1" s="31">
      <c r="A10" s="98" t="inlineStr">
        <is>
          <t>NIVEL DE FORMACIÓN:</t>
        </is>
      </c>
      <c r="B10" s="89" t="n"/>
      <c r="C10" s="90" t="n"/>
      <c r="D10" s="8" t="inlineStr">
        <is>
          <t>Especialización</t>
        </is>
      </c>
      <c r="E10" s="8" t="n"/>
      <c r="F10" s="8" t="inlineStr">
        <is>
          <t>Maestría</t>
        </is>
      </c>
      <c r="G10" s="8" t="inlineStr">
        <is>
          <t>x</t>
        </is>
      </c>
      <c r="H10" s="101" t="n"/>
      <c r="I10" s="90" t="n"/>
      <c r="J10" s="15" t="inlineStr">
        <is>
          <t>MODALIDAD:</t>
        </is>
      </c>
      <c r="K10" s="90" t="n"/>
      <c r="L10" s="8" t="inlineStr">
        <is>
          <t>Presencial</t>
        </is>
      </c>
      <c r="M10" s="89" t="n"/>
      <c r="N10" s="90" t="n"/>
      <c r="O10" s="15" t="inlineStr">
        <is>
          <t>SEMESTRE:</t>
        </is>
      </c>
      <c r="P10" s="90" t="n"/>
      <c r="Q10" s="8" t="n">
        <v>1</v>
      </c>
      <c r="R10" s="89" t="n"/>
      <c r="S10" s="90" t="n"/>
      <c r="T10" s="7" t="n"/>
      <c r="U10" s="7" t="n"/>
      <c r="V10" s="7" t="n"/>
      <c r="W10" s="7" t="n"/>
      <c r="X10" s="7" t="n"/>
      <c r="Y10" s="7" t="n"/>
      <c r="Z10" s="7" t="n"/>
    </row>
    <row r="11" ht="15" customHeight="1" s="31">
      <c r="A11" s="98" t="inlineStr">
        <is>
          <t>PÉNSUM:</t>
        </is>
      </c>
      <c r="B11" s="90" t="n"/>
      <c r="C11" s="102" t="n"/>
      <c r="D11" s="89" t="n"/>
      <c r="E11" s="89" t="n"/>
      <c r="F11" s="89" t="n"/>
      <c r="G11" s="89" t="n"/>
      <c r="H11" s="89" t="n"/>
      <c r="I11" s="89" t="n"/>
      <c r="J11" s="89" t="n"/>
      <c r="K11" s="90" t="n"/>
      <c r="L11" s="103" t="inlineStr">
        <is>
          <t>ÁREA DE FORMACIÓN:</t>
        </is>
      </c>
      <c r="M11" s="90" t="n"/>
      <c r="N11" s="104" t="n"/>
      <c r="O11" s="89" t="n"/>
      <c r="P11" s="89" t="n"/>
      <c r="Q11" s="89" t="n"/>
      <c r="R11" s="89" t="n"/>
      <c r="S11" s="90" t="n"/>
      <c r="T11" s="7" t="n"/>
      <c r="U11" s="7" t="n"/>
      <c r="V11" s="7" t="n"/>
      <c r="W11" s="7" t="n"/>
      <c r="X11" s="7" t="n"/>
      <c r="Y11" s="7" t="n"/>
      <c r="Z11" s="7" t="n"/>
    </row>
    <row r="12" ht="13.5" customHeight="1" s="31">
      <c r="A12" s="105" t="inlineStr">
        <is>
          <t>IDENTIFICACIÓN</t>
        </is>
      </c>
      <c r="B12" s="89" t="n"/>
      <c r="C12" s="89" t="n"/>
      <c r="D12" s="89" t="n"/>
      <c r="E12" s="89" t="n"/>
      <c r="F12" s="89" t="n"/>
      <c r="G12" s="89" t="n"/>
      <c r="H12" s="89" t="n"/>
      <c r="I12" s="89" t="n"/>
      <c r="J12" s="89" t="n"/>
      <c r="K12" s="89" t="n"/>
      <c r="L12" s="89" t="n"/>
      <c r="M12" s="89" t="n"/>
      <c r="N12" s="89" t="n"/>
      <c r="O12" s="89" t="n"/>
      <c r="P12" s="89" t="n"/>
      <c r="Q12" s="89" t="n"/>
      <c r="R12" s="89" t="n"/>
      <c r="S12" s="90" t="n"/>
      <c r="T12" s="7" t="n"/>
      <c r="U12" s="7" t="n"/>
      <c r="V12" s="7" t="n"/>
      <c r="W12" s="7" t="n"/>
      <c r="X12" s="7" t="n"/>
      <c r="Y12" s="7" t="n"/>
      <c r="Z12" s="7" t="n"/>
    </row>
    <row r="13" ht="42" customHeight="1" s="31">
      <c r="A13" s="106" t="inlineStr">
        <is>
          <t>TIPO DE ASIGNATURA:</t>
        </is>
      </c>
      <c r="B13" s="89" t="n"/>
      <c r="C13" s="89" t="n"/>
      <c r="D13" s="90" t="n"/>
      <c r="E13" s="107" t="inlineStr">
        <is>
          <t>TOTAL CRÉDITOS</t>
        </is>
      </c>
      <c r="F13" s="90" t="n"/>
      <c r="G13" s="108" t="inlineStr">
        <is>
          <t>HORAS DE TRABAJO TEÓRICO DIRECTO CON DOCENTE
(Semestral)</t>
        </is>
      </c>
      <c r="H13" s="90" t="n"/>
      <c r="I13" s="108" t="inlineStr">
        <is>
          <t>HORAS DE TRABAJO PRÁCTICO DIRECTO CON DOCENTE
(Semestral)</t>
        </is>
      </c>
      <c r="J13" s="90" t="n"/>
      <c r="K13" s="108" t="inlineStr">
        <is>
          <t>TOTAL HORAS DE TRABAJO DIRECTO CON DOCENTE
(Semestral)</t>
        </is>
      </c>
      <c r="L13" s="90" t="n"/>
      <c r="M13" s="108" t="inlineStr">
        <is>
          <t>HORAS DE TRABAJO INDEPENDIENTE O AUTÓNOMO 
(Semestral)</t>
        </is>
      </c>
      <c r="N13" s="90" t="n"/>
      <c r="O13" s="108" t="inlineStr">
        <is>
          <t>HORAS DE TRABAJO COLABORATIVO (Semestral)</t>
        </is>
      </c>
      <c r="P13" s="90" t="n"/>
      <c r="Q13" s="108" t="inlineStr">
        <is>
          <t>HORAS TOTALES 
(Semestral)</t>
        </is>
      </c>
      <c r="R13" s="89" t="n"/>
      <c r="S13" s="90" t="n"/>
      <c r="T13" s="7" t="n"/>
      <c r="U13" s="7" t="n"/>
      <c r="V13" s="7" t="n"/>
      <c r="W13" s="7" t="n"/>
      <c r="X13" s="7" t="n"/>
      <c r="Y13" s="7" t="n"/>
      <c r="Z13" s="7" t="n"/>
    </row>
    <row r="14" ht="19.5" customHeight="1" s="31">
      <c r="A14" s="109" t="inlineStr">
        <is>
          <t>Teórica</t>
        </is>
      </c>
      <c r="B14" s="89" t="n"/>
      <c r="C14" s="89" t="n"/>
      <c r="D14" s="90" t="n"/>
      <c r="E14" s="8" t="n">
        <v>4</v>
      </c>
      <c r="F14" s="90" t="n"/>
      <c r="G14" s="8" t="n">
        <v>48</v>
      </c>
      <c r="H14" s="90" t="n"/>
      <c r="I14" s="8" t="n"/>
      <c r="J14" s="90" t="n"/>
      <c r="K14" s="110">
        <f>+G14+I14</f>
        <v/>
      </c>
      <c r="L14" s="90" t="n"/>
      <c r="M14" s="111" t="inlineStr">
        <is>
          <t xml:space="preserve">144		</t>
        </is>
      </c>
      <c r="N14" s="90" t="n"/>
      <c r="O14" s="8" t="n"/>
      <c r="P14" s="90" t="n"/>
      <c r="Q14" s="110">
        <f>+E14*48</f>
        <v/>
      </c>
      <c r="R14" s="89" t="n"/>
      <c r="S14" s="90" t="n"/>
      <c r="T14" s="7" t="n"/>
      <c r="U14" s="7" t="n"/>
      <c r="V14" s="7" t="n"/>
      <c r="W14" s="7" t="n"/>
      <c r="X14" s="7" t="n"/>
      <c r="Y14" s="7" t="n"/>
      <c r="Z14" s="7" t="n"/>
    </row>
    <row r="15" ht="48.75" customHeight="1" s="31">
      <c r="A15" s="97" t="inlineStr">
        <is>
          <t>2. COMPETENCIAS Y CONTENIDOS DE LA ASIGNATURA</t>
        </is>
      </c>
      <c r="B15" s="89" t="n"/>
      <c r="C15" s="89" t="n"/>
      <c r="D15" s="89" t="n"/>
      <c r="E15" s="89" t="n"/>
      <c r="F15" s="89" t="n"/>
      <c r="G15" s="89" t="n"/>
      <c r="H15" s="89" t="n"/>
      <c r="I15" s="89" t="n"/>
      <c r="J15" s="89" t="n"/>
      <c r="K15" s="89" t="n"/>
      <c r="L15" s="89" t="n"/>
      <c r="M15" s="89" t="n"/>
      <c r="N15" s="89" t="n"/>
      <c r="O15" s="89" t="n"/>
      <c r="P15" s="89" t="n"/>
      <c r="Q15" s="89" t="n"/>
      <c r="R15" s="89" t="n"/>
      <c r="S15" s="90" t="n"/>
      <c r="T15" s="7" t="n"/>
      <c r="U15" s="7" t="n"/>
      <c r="V15" s="7" t="n"/>
      <c r="W15" s="7" t="n"/>
      <c r="X15" s="7" t="n"/>
      <c r="Y15" s="7" t="n"/>
      <c r="Z15" s="7" t="n"/>
    </row>
    <row r="16" ht="60" customHeight="1" s="31">
      <c r="A16" s="112" t="inlineStr">
        <is>
          <t>PRESENTACIÓN DE LA ASIGNATURA:</t>
        </is>
      </c>
      <c r="B16" s="89" t="n"/>
      <c r="C16" s="90" t="n"/>
      <c r="D16" s="113" t="inlineStr">
        <is>
          <t xml:space="preserve">Para la Maestría en Salud Pública  es importante que sus estudiantes analicen el contexto histórico y sociocultural de los fenómenos que afectan la salud pública  de los colectivos con base en    teorías, modelos y metodologías interdisciplinarias. Los estudiantes de la Maestría en Salud Pública serán capaces de argumentar y contra- argumentar las relaciones directas entre características históricos-sociales-culturales y sus efectos en  el proceso salud- enfermedad de las personas y los colectivos. También serán capaces de manejar los conceptos fundamentales de la Salud Pública, estableciendo las interrelaciones que de ellos surgen en la práctica al configurar las realidades de los sujetos en el País.													</t>
        </is>
      </c>
      <c r="E16" s="89" t="n"/>
      <c r="F16" s="89" t="n"/>
      <c r="G16" s="89" t="n"/>
      <c r="H16" s="89" t="n"/>
      <c r="I16" s="89" t="n"/>
      <c r="J16" s="89" t="n"/>
      <c r="K16" s="89" t="n"/>
      <c r="L16" s="89" t="n"/>
      <c r="M16" s="89" t="n"/>
      <c r="N16" s="89" t="n"/>
      <c r="O16" s="89" t="n"/>
      <c r="P16" s="89" t="n"/>
      <c r="Q16" s="89" t="n"/>
      <c r="R16" s="89" t="n"/>
      <c r="S16" s="90" t="n"/>
      <c r="T16" s="7" t="n"/>
      <c r="U16" s="7" t="n"/>
      <c r="V16" s="7" t="n"/>
      <c r="W16" s="7" t="n"/>
      <c r="X16" s="7" t="n"/>
      <c r="Y16" s="7" t="n"/>
      <c r="Z16" s="7" t="n"/>
    </row>
    <row r="17" ht="60" customHeight="1" s="31">
      <c r="A17" s="112" t="inlineStr">
        <is>
          <t>NÚCLEO PROBLÉMICO DE LA ASIGNATURA:</t>
        </is>
      </c>
      <c r="B17" s="89" t="n"/>
      <c r="C17" s="90" t="n"/>
      <c r="D17" s="113" t="inlineStr">
        <is>
          <t xml:space="preserve">La salud pública es una disciplina que, de manera organizada, responde al contexto socio cultural y económico que genera alteraciones en la salud de individuos y poblaciones. Las acciones que puedan proponerse para el mantenimiento y promoción de la salud del público, requieren estructurar el conocimiento a partir de teorías, modelos y metodologías interdisciplinarias. Por su carácter institucional, la salud pública como respuesta organizada del Estado debe dar cuenta de la salud vinculada a las altas externalidades de lo publico. La relación de la salud pública con la formación del Estado, la nación y la sociedad, además de la diversidad de formas que este pueda asumir, configuran la manera como se aportará a los problemas de salud en poblaciones específicas. Las respuestas a los problemas de salud de la población, parten de su identificación, vigilancia y análisis estructurado. La formulación de proyectos de investigación es una de las formas de acercarse de manera directa y objetiva a dichos problemas. Los resultados de estos procesos de investigación pueden contribuir a transformar realidades de comunidades y grupos poblacionales.													</t>
        </is>
      </c>
      <c r="E17" s="89" t="n"/>
      <c r="F17" s="89" t="n"/>
      <c r="G17" s="89" t="n"/>
      <c r="H17" s="89" t="n"/>
      <c r="I17" s="89" t="n"/>
      <c r="J17" s="89" t="n"/>
      <c r="K17" s="89" t="n"/>
      <c r="L17" s="89" t="n"/>
      <c r="M17" s="89" t="n"/>
      <c r="N17" s="89" t="n"/>
      <c r="O17" s="89" t="n"/>
      <c r="P17" s="89" t="n"/>
      <c r="Q17" s="89" t="n"/>
      <c r="R17" s="89" t="n"/>
      <c r="S17" s="90" t="n"/>
      <c r="T17" s="7" t="n"/>
      <c r="U17" s="7" t="n"/>
      <c r="V17" s="7" t="n"/>
      <c r="W17" s="7" t="n"/>
      <c r="X17" s="7" t="n"/>
      <c r="Y17" s="7" t="n"/>
      <c r="Z17" s="7" t="n"/>
    </row>
    <row r="18" ht="14.25" customHeight="1" s="31">
      <c r="A18" s="105" t="inlineStr">
        <is>
          <t>COMPETENCIAS A DESARROLLAR POR LA ASIGNATURA</t>
        </is>
      </c>
      <c r="B18" s="89" t="n"/>
      <c r="C18" s="89" t="n"/>
      <c r="D18" s="89" t="n"/>
      <c r="E18" s="89" t="n"/>
      <c r="F18" s="89" t="n"/>
      <c r="G18" s="89" t="n"/>
      <c r="H18" s="89" t="n"/>
      <c r="I18" s="89" t="n"/>
      <c r="J18" s="89" t="n"/>
      <c r="K18" s="89" t="n"/>
      <c r="L18" s="89" t="n"/>
      <c r="M18" s="89" t="n"/>
      <c r="N18" s="89" t="n"/>
      <c r="O18" s="89" t="n"/>
      <c r="P18" s="89" t="n"/>
      <c r="Q18" s="89" t="n"/>
      <c r="R18" s="89" t="n"/>
      <c r="S18" s="90" t="n"/>
      <c r="T18" s="7" t="n"/>
      <c r="U18" s="7" t="n"/>
      <c r="V18" s="7" t="n"/>
      <c r="W18" s="7" t="n"/>
      <c r="X18" s="7" t="n"/>
      <c r="Y18" s="7" t="n"/>
      <c r="Z18" s="7" t="n"/>
    </row>
    <row r="19" ht="13.5" customHeight="1" s="31">
      <c r="A19" s="114" t="inlineStr">
        <is>
          <t>UNIDAD DE COMPETENCIA ASOCIADA - UCA</t>
        </is>
      </c>
      <c r="B19" s="87" t="n"/>
      <c r="C19" s="93" t="n"/>
      <c r="D19" s="115" t="inlineStr">
        <is>
          <t>Código</t>
        </is>
      </c>
      <c r="E19" s="90" t="n"/>
      <c r="F19" s="110" t="inlineStr">
        <is>
          <t>Unidad de competencia</t>
        </is>
      </c>
      <c r="G19" s="89" t="n"/>
      <c r="H19" s="89" t="n"/>
      <c r="I19" s="89" t="n"/>
      <c r="J19" s="90" t="n"/>
      <c r="K19" s="116" t="inlineStr">
        <is>
          <t>Resultado del aprendizaje del programa al que aporta la competencia enunciada</t>
        </is>
      </c>
      <c r="L19" s="89" t="n"/>
      <c r="M19" s="89" t="n"/>
      <c r="N19" s="89" t="n"/>
      <c r="O19" s="89" t="n"/>
      <c r="P19" s="89" t="n"/>
      <c r="Q19" s="89" t="n"/>
      <c r="R19" s="89" t="n"/>
      <c r="S19" s="90" t="n"/>
      <c r="T19" s="7" t="n"/>
      <c r="U19" s="7" t="n"/>
      <c r="V19" s="7" t="n"/>
      <c r="W19" s="7" t="n"/>
      <c r="X19" s="7" t="n"/>
      <c r="Y19" s="7" t="n"/>
      <c r="Z19" s="7" t="n"/>
    </row>
    <row r="20" ht="39" customHeight="1" s="31">
      <c r="A20" s="92" t="n"/>
      <c r="C20" s="117" t="n"/>
      <c r="D20" s="118" t="inlineStr">
        <is>
          <t>CE1</t>
        </is>
      </c>
      <c r="E20" s="90" t="n"/>
      <c r="F20" s="113" t="inlineStr">
        <is>
          <t xml:space="preserve">Genera procesos para la transformación social orientados al mejoramiento de la salud de personas y colectivos, con base en elementos epistemológicos, ontológicos y praxiológicos, en el marco del cuidado, el buen vivir, los determinantes sociales y la determinación social. </t>
        </is>
      </c>
      <c r="G20" s="89" t="n"/>
      <c r="H20" s="89" t="n"/>
      <c r="I20" s="89" t="n"/>
      <c r="J20" s="90" t="n"/>
      <c r="K20" s="113" t="inlineStr">
        <is>
          <t>Diseña e implementa procesos participativos para la transformación social orientados al mejoramiento de la salud de personas y colectivos, fundamentados en elementos epistemológicos, ontológicos y praxiológicos, y alineados con los principios del cuidado, el buen vivir, los determinantes sociales y la determinación social de la salud.</t>
        </is>
      </c>
      <c r="L20" s="89" t="n"/>
      <c r="M20" s="89" t="n"/>
      <c r="N20" s="89" t="n"/>
      <c r="O20" s="89" t="n"/>
      <c r="P20" s="89" t="n"/>
      <c r="Q20" s="89" t="n"/>
      <c r="R20" s="89" t="n"/>
      <c r="S20" s="90" t="n"/>
      <c r="T20" s="7" t="n"/>
      <c r="U20" s="7" t="n"/>
      <c r="V20" s="7" t="n"/>
      <c r="W20" s="7" t="n"/>
      <c r="X20" s="7" t="n"/>
      <c r="Y20" s="7" t="n"/>
      <c r="Z20" s="7" t="n"/>
    </row>
    <row r="21" ht="36.75" customHeight="1" s="31">
      <c r="A21" s="92" t="n"/>
      <c r="C21" s="117" t="n"/>
      <c r="D21" s="118" t="inlineStr">
        <is>
          <t>CE2</t>
        </is>
      </c>
      <c r="E21" s="90" t="n"/>
      <c r="F21" s="113" t="inlineStr">
        <is>
          <t>Analiza en el contexto histórico y socio-cultural, los fenómenos que afectan la salud de las personas y colectivos, para contribuir a la transformación de las realidades en salud, con base en teorías, modelos y enfoques de la salud pública.</t>
        </is>
      </c>
      <c r="G21" s="89" t="n"/>
      <c r="H21" s="89" t="n"/>
      <c r="I21" s="89" t="n"/>
      <c r="J21" s="90" t="n"/>
      <c r="K21" s="113" t="inlineStr">
        <is>
          <t>Analiza críticamente, en el contexto histórico y socio-cultural, los fenómenos que impactan la salud pública y el desarrollo social de personas y colectivos, proponiendo estrategias transformadoras basadas en teorías, modelos y metodologías del desarrollo social y la salud pública.</t>
        </is>
      </c>
      <c r="L21" s="89" t="n"/>
      <c r="M21" s="89" t="n"/>
      <c r="N21" s="89" t="n"/>
      <c r="O21" s="89" t="n"/>
      <c r="P21" s="89" t="n"/>
      <c r="Q21" s="89" t="n"/>
      <c r="R21" s="89" t="n"/>
      <c r="S21" s="90" t="n"/>
      <c r="T21" s="7" t="n"/>
      <c r="U21" s="7" t="n"/>
      <c r="V21" s="7" t="n"/>
      <c r="W21" s="7" t="n"/>
      <c r="X21" s="7" t="n"/>
      <c r="Y21" s="7" t="n"/>
      <c r="Z21" s="7" t="n"/>
    </row>
    <row r="22" ht="13.5" customHeight="1" s="31">
      <c r="A22" s="92" t="n"/>
      <c r="C22" s="117" t="n"/>
      <c r="D22" s="8" t="n"/>
      <c r="E22" s="90" t="n"/>
      <c r="F22" s="99" t="n"/>
      <c r="G22" s="89" t="n"/>
      <c r="H22" s="89" t="n"/>
      <c r="I22" s="89" t="n"/>
      <c r="J22" s="90" t="n"/>
      <c r="K22" s="99" t="n"/>
      <c r="L22" s="89" t="n"/>
      <c r="M22" s="89" t="n"/>
      <c r="N22" s="89" t="n"/>
      <c r="O22" s="89" t="n"/>
      <c r="P22" s="89" t="n"/>
      <c r="Q22" s="89" t="n"/>
      <c r="R22" s="89" t="n"/>
      <c r="S22" s="90" t="n"/>
      <c r="T22" s="7" t="n"/>
      <c r="U22" s="7" t="n"/>
      <c r="V22" s="7" t="n"/>
      <c r="W22" s="7" t="n"/>
      <c r="X22" s="7" t="n"/>
      <c r="Y22" s="7" t="n"/>
      <c r="Z22" s="7" t="n"/>
    </row>
    <row r="23" ht="13.5" customHeight="1" s="31">
      <c r="A23" s="94" t="n"/>
      <c r="B23" s="95" t="n"/>
      <c r="C23" s="96" t="n"/>
      <c r="D23" s="8" t="n"/>
      <c r="E23" s="90" t="n"/>
      <c r="F23" s="99" t="n"/>
      <c r="G23" s="89" t="n"/>
      <c r="H23" s="89" t="n"/>
      <c r="I23" s="89" t="n"/>
      <c r="J23" s="90" t="n"/>
      <c r="K23" s="99" t="n"/>
      <c r="L23" s="89" t="n"/>
      <c r="M23" s="89" t="n"/>
      <c r="N23" s="89" t="n"/>
      <c r="O23" s="89" t="n"/>
      <c r="P23" s="89" t="n"/>
      <c r="Q23" s="89" t="n"/>
      <c r="R23" s="89" t="n"/>
      <c r="S23" s="90" t="n"/>
      <c r="T23" s="7" t="n"/>
      <c r="U23" s="7" t="n"/>
      <c r="V23" s="7" t="n"/>
      <c r="W23" s="7" t="n"/>
      <c r="X23" s="7" t="n"/>
      <c r="Y23" s="7" t="n"/>
      <c r="Z23" s="7" t="n"/>
    </row>
    <row r="24" ht="14.25" customHeight="1" s="31">
      <c r="A24" s="114" t="inlineStr">
        <is>
          <t>ELEMENTOS DE COMPETENCIA ASOCIADOS - ECA</t>
        </is>
      </c>
      <c r="B24" s="87" t="n"/>
      <c r="C24" s="93" t="n"/>
      <c r="D24" s="115" t="inlineStr">
        <is>
          <t>Código</t>
        </is>
      </c>
      <c r="E24" s="90" t="n"/>
      <c r="F24" s="110" t="inlineStr">
        <is>
          <t>Elementos de competencia</t>
        </is>
      </c>
      <c r="G24" s="89" t="n"/>
      <c r="H24" s="89" t="n"/>
      <c r="I24" s="89" t="n"/>
      <c r="J24" s="89" t="n"/>
      <c r="K24" s="89" t="n"/>
      <c r="L24" s="89" t="n"/>
      <c r="M24" s="89" t="n"/>
      <c r="N24" s="89" t="n"/>
      <c r="O24" s="89" t="n"/>
      <c r="P24" s="89" t="n"/>
      <c r="Q24" s="89" t="n"/>
      <c r="R24" s="89" t="n"/>
      <c r="S24" s="90" t="n"/>
      <c r="T24" s="7" t="n"/>
      <c r="U24" s="7" t="n"/>
      <c r="V24" s="7" t="n"/>
      <c r="W24" s="7" t="n"/>
      <c r="X24" s="7" t="n"/>
      <c r="Y24" s="7" t="n"/>
      <c r="Z24" s="7" t="n"/>
    </row>
    <row r="25" ht="27" customHeight="1" s="31">
      <c r="A25" s="92" t="n"/>
      <c r="C25" s="117" t="n"/>
      <c r="D25" s="118" t="inlineStr">
        <is>
          <t>EC.1.3.</t>
        </is>
      </c>
      <c r="E25" s="90" t="n"/>
      <c r="F25" s="113" t="inlineStr">
        <is>
          <t>Aplica procesos de gestión sectoriales, intersectoriales y transectoriales para afectar los determinantes sociales y  las inequidades en salud de las personas y los colectivos,  a través de metodologías de planeacón estrátegica y gerencia de servicios</t>
        </is>
      </c>
      <c r="G25" s="89" t="n"/>
      <c r="H25" s="89" t="n"/>
      <c r="I25" s="89" t="n"/>
      <c r="J25" s="89" t="n"/>
      <c r="K25" s="89" t="n"/>
      <c r="L25" s="89" t="n"/>
      <c r="M25" s="89" t="n"/>
      <c r="N25" s="89" t="n"/>
      <c r="O25" s="89" t="n"/>
      <c r="P25" s="89" t="n"/>
      <c r="Q25" s="89" t="n"/>
      <c r="R25" s="89" t="n"/>
      <c r="S25" s="90" t="n"/>
      <c r="T25" s="7" t="n"/>
      <c r="U25" s="7" t="n"/>
      <c r="V25" s="7" t="n"/>
      <c r="W25" s="7" t="n"/>
      <c r="X25" s="7" t="n"/>
      <c r="Y25" s="7" t="n"/>
      <c r="Z25" s="7" t="n"/>
    </row>
    <row r="26" ht="27" customHeight="1" s="31">
      <c r="A26" s="92" t="n"/>
      <c r="C26" s="117" t="n"/>
      <c r="D26" s="118" t="inlineStr">
        <is>
          <t>EC.2.1.</t>
        </is>
      </c>
      <c r="E26" s="90" t="n"/>
      <c r="F26" s="113" t="inlineStr">
        <is>
          <t xml:space="preserve">Contextualiza las teorías, modelos y enfoques de la salud pública, para interpretar los fenómenos socio-culturales, políticos y  económicos relacionados con la salud desde el pensamiento complejo y el humanismo.     </t>
        </is>
      </c>
      <c r="G26" s="89" t="n"/>
      <c r="H26" s="89" t="n"/>
      <c r="I26" s="89" t="n"/>
      <c r="J26" s="89" t="n"/>
      <c r="K26" s="89" t="n"/>
      <c r="L26" s="89" t="n"/>
      <c r="M26" s="89" t="n"/>
      <c r="N26" s="89" t="n"/>
      <c r="O26" s="89" t="n"/>
      <c r="P26" s="89" t="n"/>
      <c r="Q26" s="89" t="n"/>
      <c r="R26" s="89" t="n"/>
      <c r="S26" s="90" t="n"/>
      <c r="T26" s="7" t="n"/>
      <c r="U26" s="7" t="n"/>
      <c r="V26" s="7" t="n"/>
      <c r="W26" s="7" t="n"/>
      <c r="X26" s="7" t="n"/>
      <c r="Y26" s="7" t="n"/>
      <c r="Z26" s="7" t="n"/>
    </row>
    <row r="27" ht="25" customHeight="1" s="31">
      <c r="A27" s="92" t="n"/>
      <c r="C27" s="117" t="n"/>
      <c r="D27" s="118" t="inlineStr">
        <is>
          <t>EC.2.2.</t>
        </is>
      </c>
      <c r="E27" s="90" t="n"/>
      <c r="F27" s="113" t="inlineStr">
        <is>
          <t>Investiga los fenómenos socio-culturales, políticos y  económicos relacionados con  la salud pública para promover transformaciones de las personas y los colectivos  con una postura crítica y transdisciplinar desde  enfoques de sensibilidad social y humanista.</t>
        </is>
      </c>
      <c r="G27" s="89" t="n"/>
      <c r="H27" s="89" t="n"/>
      <c r="I27" s="89" t="n"/>
      <c r="J27" s="89" t="n"/>
      <c r="K27" s="89" t="n"/>
      <c r="L27" s="89" t="n"/>
      <c r="M27" s="89" t="n"/>
      <c r="N27" s="89" t="n"/>
      <c r="O27" s="89" t="n"/>
      <c r="P27" s="89" t="n"/>
      <c r="Q27" s="89" t="n"/>
      <c r="R27" s="89" t="n"/>
      <c r="S27" s="90" t="n"/>
      <c r="T27" s="7" t="n"/>
      <c r="U27" s="7" t="n"/>
      <c r="V27" s="7" t="n"/>
      <c r="W27" s="7" t="n"/>
      <c r="X27" s="7" t="n"/>
      <c r="Y27" s="7" t="n"/>
      <c r="Z27" s="7" t="n"/>
    </row>
    <row r="28" ht="36" customHeight="1" s="31">
      <c r="A28" s="92" t="n"/>
      <c r="C28" s="117" t="n"/>
      <c r="D28" s="118" t="inlineStr">
        <is>
          <t>EC.2.3.</t>
        </is>
      </c>
      <c r="E28" s="90" t="n"/>
      <c r="F28" s="113" t="inlineStr">
        <is>
          <t>Argumenta y contra-argumenta relaciones directas entre factores históricos-sociales-culturales y efectos en la salud pública, con el propósito de crear multidisciplinarmente alternativas de desarrollo para el mejoramiento de la salud de las personas y colectivos desde metodologias mixtas  de investigación y de participación.</t>
        </is>
      </c>
      <c r="G28" s="89" t="n"/>
      <c r="H28" s="89" t="n"/>
      <c r="I28" s="89" t="n"/>
      <c r="J28" s="89" t="n"/>
      <c r="K28" s="89" t="n"/>
      <c r="L28" s="89" t="n"/>
      <c r="M28" s="89" t="n"/>
      <c r="N28" s="89" t="n"/>
      <c r="O28" s="89" t="n"/>
      <c r="P28" s="89" t="n"/>
      <c r="Q28" s="89" t="n"/>
      <c r="R28" s="89" t="n"/>
      <c r="S28" s="90" t="n"/>
      <c r="T28" s="7" t="n"/>
      <c r="U28" s="7" t="n"/>
      <c r="V28" s="7" t="n"/>
      <c r="W28" s="7" t="n"/>
      <c r="X28" s="7" t="n"/>
      <c r="Y28" s="7" t="n"/>
      <c r="Z28" s="7" t="n"/>
    </row>
    <row r="29" ht="30" customHeight="1" s="31">
      <c r="A29" s="94" t="n"/>
      <c r="B29" s="95" t="n"/>
      <c r="C29" s="96" t="n"/>
      <c r="D29" s="118" t="inlineStr">
        <is>
          <t>EC.2.4.</t>
        </is>
      </c>
      <c r="E29" s="90" t="n"/>
      <c r="F29" s="113" t="inlineStr">
        <is>
          <t xml:space="preserve">Prioriza la información sobre la situación de salud y enfermedad de las personas y colectivos y actúa en el marco de la atención primaria  con  acciones de promoción, vigilancia, identificación de riesgos y prevención de daños en salud publica.                                                                                                                                                                          </t>
        </is>
      </c>
      <c r="G29" s="89" t="n"/>
      <c r="H29" s="89" t="n"/>
      <c r="I29" s="89" t="n"/>
      <c r="J29" s="89" t="n"/>
      <c r="K29" s="89" t="n"/>
      <c r="L29" s="89" t="n"/>
      <c r="M29" s="89" t="n"/>
      <c r="N29" s="89" t="n"/>
      <c r="O29" s="89" t="n"/>
      <c r="P29" s="89" t="n"/>
      <c r="Q29" s="89" t="n"/>
      <c r="R29" s="89" t="n"/>
      <c r="S29" s="90" t="n"/>
      <c r="T29" s="7" t="n"/>
      <c r="U29" s="7" t="n"/>
      <c r="V29" s="7" t="n"/>
      <c r="W29" s="7" t="n"/>
      <c r="X29" s="7" t="n"/>
      <c r="Y29" s="7" t="n"/>
      <c r="Z29" s="7" t="n"/>
    </row>
    <row r="30" ht="13.5" customHeight="1" s="31">
      <c r="A30" s="114" t="inlineStr">
        <is>
          <t>CRITERIOS DE REALIZACIÓN ASOCIADOS - CRA</t>
        </is>
      </c>
      <c r="B30" s="87" t="n"/>
      <c r="C30" s="93" t="n"/>
      <c r="D30" s="115" t="inlineStr">
        <is>
          <t>Código</t>
        </is>
      </c>
      <c r="E30" s="90" t="n"/>
      <c r="F30" s="110" t="inlineStr">
        <is>
          <t>Criterios de realización asociados a los elementos de competencia</t>
        </is>
      </c>
      <c r="G30" s="89" t="n"/>
      <c r="H30" s="89" t="n"/>
      <c r="I30" s="89" t="n"/>
      <c r="J30" s="89" t="n"/>
      <c r="K30" s="89" t="n"/>
      <c r="L30" s="89" t="n"/>
      <c r="M30" s="89" t="n"/>
      <c r="N30" s="89" t="n"/>
      <c r="O30" s="89" t="n"/>
      <c r="P30" s="89" t="n"/>
      <c r="Q30" s="89" t="n"/>
      <c r="R30" s="89" t="n"/>
      <c r="S30" s="90" t="n"/>
      <c r="T30" s="7" t="n"/>
      <c r="U30" s="7" t="n"/>
      <c r="V30" s="7" t="n"/>
      <c r="W30" s="7" t="n"/>
      <c r="X30" s="7" t="n"/>
      <c r="Y30" s="7" t="n"/>
      <c r="Z30" s="7" t="n"/>
    </row>
    <row r="31" ht="13.5" customHeight="1" s="31">
      <c r="A31" s="92" t="n"/>
      <c r="C31" s="117" t="n"/>
      <c r="D31" s="118" t="inlineStr">
        <is>
          <t>CR1.3.</t>
        </is>
      </c>
      <c r="E31" s="90" t="n"/>
      <c r="F31" s="99" t="inlineStr">
        <is>
          <t xml:space="preserve">Conoce los desarrollos en el marco de los determinantes sociales  de la salud y sus implicaciones  para avanzar en el cuidado y buen vivir de  las personas y colectivos </t>
        </is>
      </c>
      <c r="G31" s="89" t="n"/>
      <c r="H31" s="89" t="n"/>
      <c r="I31" s="89" t="n"/>
      <c r="J31" s="89" t="n"/>
      <c r="K31" s="89" t="n"/>
      <c r="L31" s="89" t="n"/>
      <c r="M31" s="89" t="n"/>
      <c r="N31" s="89" t="n"/>
      <c r="O31" s="89" t="n"/>
      <c r="P31" s="89" t="n"/>
      <c r="Q31" s="89" t="n"/>
      <c r="R31" s="89" t="n"/>
      <c r="S31" s="90" t="n"/>
      <c r="T31" s="7" t="n"/>
      <c r="U31" s="7" t="n"/>
      <c r="V31" s="7" t="n"/>
      <c r="W31" s="7" t="n"/>
      <c r="X31" s="7" t="n"/>
      <c r="Y31" s="7" t="n"/>
      <c r="Z31" s="7" t="n"/>
    </row>
    <row r="32" ht="13.5" customHeight="1" s="31">
      <c r="A32" s="92" t="n"/>
      <c r="C32" s="117" t="n"/>
      <c r="D32" s="118" t="inlineStr">
        <is>
          <t>CR2.1.</t>
        </is>
      </c>
      <c r="E32" s="90" t="n"/>
      <c r="F32" s="99" t="inlineStr">
        <is>
          <t>Conoce e interpreta los fenomenos socioculturales, políticos y económicos desde las teorías y modelos en salud pública, basado en pensamiento complejo y el humanismo</t>
        </is>
      </c>
      <c r="G32" s="89" t="n"/>
      <c r="H32" s="89" t="n"/>
      <c r="I32" s="89" t="n"/>
      <c r="J32" s="89" t="n"/>
      <c r="K32" s="89" t="n"/>
      <c r="L32" s="89" t="n"/>
      <c r="M32" s="89" t="n"/>
      <c r="N32" s="89" t="n"/>
      <c r="O32" s="89" t="n"/>
      <c r="P32" s="89" t="n"/>
      <c r="Q32" s="89" t="n"/>
      <c r="R32" s="89" t="n"/>
      <c r="S32" s="90" t="n"/>
      <c r="T32" s="7" t="n"/>
      <c r="U32" s="7" t="n"/>
      <c r="V32" s="7" t="n"/>
      <c r="W32" s="7" t="n"/>
      <c r="X32" s="7" t="n"/>
      <c r="Y32" s="7" t="n"/>
      <c r="Z32" s="7" t="n"/>
    </row>
    <row r="33" ht="37.5" customHeight="1" s="31">
      <c r="A33" s="92" t="n"/>
      <c r="C33" s="117" t="n"/>
      <c r="D33" s="118" t="inlineStr">
        <is>
          <t>CR2.2.</t>
        </is>
      </c>
      <c r="E33" s="90" t="n"/>
      <c r="F33" s="113" t="inlineStr">
        <is>
          <t>Examina los fenómenos socio-culturales, políticos y económicos relacionados con la salud pública desde  teorías, modelos y metodologías interdisciplinares contemporáneas propias de las Ciencias Sociales y de la Salud</t>
        </is>
      </c>
      <c r="G33" s="89" t="n"/>
      <c r="H33" s="89" t="n"/>
      <c r="I33" s="89" t="n"/>
      <c r="J33" s="89" t="n"/>
      <c r="K33" s="89" t="n"/>
      <c r="L33" s="89" t="n"/>
      <c r="M33" s="89" t="n"/>
      <c r="N33" s="89" t="n"/>
      <c r="O33" s="89" t="n"/>
      <c r="P33" s="89" t="n"/>
      <c r="Q33" s="89" t="n"/>
      <c r="R33" s="89" t="n"/>
      <c r="S33" s="90" t="n"/>
      <c r="T33" s="7" t="n"/>
      <c r="U33" s="7" t="n"/>
      <c r="V33" s="7" t="n"/>
      <c r="W33" s="7" t="n"/>
      <c r="X33" s="7" t="n"/>
      <c r="Y33" s="7" t="n"/>
      <c r="Z33" s="7" t="n"/>
    </row>
    <row r="34" ht="34.5" customHeight="1" s="31">
      <c r="A34" s="94" t="n"/>
      <c r="B34" s="95" t="n"/>
      <c r="C34" s="96" t="n"/>
      <c r="D34" s="118" t="inlineStr">
        <is>
          <t>CR2.3.</t>
        </is>
      </c>
      <c r="E34" s="90" t="n"/>
      <c r="F34" s="113" t="inlineStr">
        <is>
          <t>Compara las teorías, modelos y enfoques de salud pública para interpretar los fenómenos socio-culturales, políticos y económicos relacionados con la salud desde el pensamiento complejo y el humanismo.</t>
        </is>
      </c>
      <c r="G34" s="89" t="n"/>
      <c r="H34" s="89" t="n"/>
      <c r="I34" s="89" t="n"/>
      <c r="J34" s="89" t="n"/>
      <c r="K34" s="89" t="n"/>
      <c r="L34" s="89" t="n"/>
      <c r="M34" s="89" t="n"/>
      <c r="N34" s="89" t="n"/>
      <c r="O34" s="89" t="n"/>
      <c r="P34" s="89" t="n"/>
      <c r="Q34" s="89" t="n"/>
      <c r="R34" s="89" t="n"/>
      <c r="S34" s="90" t="n"/>
      <c r="T34" s="7" t="n"/>
      <c r="U34" s="7" t="n"/>
      <c r="V34" s="7" t="n"/>
      <c r="W34" s="7" t="n"/>
      <c r="X34" s="7" t="n"/>
      <c r="Y34" s="7" t="n"/>
      <c r="Z34" s="7" t="n"/>
    </row>
    <row r="35" ht="13.5" customHeight="1" s="31">
      <c r="A35" s="106" t="inlineStr">
        <is>
          <t>FORTALECIMIENTO DE LOS NODOS</t>
        </is>
      </c>
      <c r="B35" s="89" t="n"/>
      <c r="C35" s="89" t="n"/>
      <c r="D35" s="89" t="n"/>
      <c r="E35" s="89" t="n"/>
      <c r="F35" s="89" t="n"/>
      <c r="G35" s="89" t="n"/>
      <c r="H35" s="89" t="n"/>
      <c r="I35" s="89" t="n"/>
      <c r="J35" s="89" t="n"/>
      <c r="K35" s="89" t="n"/>
      <c r="L35" s="89" t="n"/>
      <c r="M35" s="89" t="n"/>
      <c r="N35" s="89" t="n"/>
      <c r="O35" s="89" t="n"/>
      <c r="P35" s="89" t="n"/>
      <c r="Q35" s="89" t="n"/>
      <c r="R35" s="89" t="n"/>
      <c r="S35" s="90" t="n"/>
      <c r="T35" s="7" t="n"/>
      <c r="U35" s="7" t="n"/>
      <c r="V35" s="7" t="n"/>
      <c r="W35" s="7" t="n"/>
      <c r="X35" s="7" t="n"/>
      <c r="Y35" s="7" t="n"/>
      <c r="Z35" s="7" t="n"/>
    </row>
    <row r="36" ht="30" customHeight="1" s="31">
      <c r="A36" s="114" t="inlineStr">
        <is>
          <t>NODOS DEL SELLO TRANSFORMADOR
(Señale con X - mínimo una, máximo dos opciones)</t>
        </is>
      </c>
      <c r="B36" s="87" t="n"/>
      <c r="C36" s="93" t="n"/>
      <c r="D36" s="8" t="inlineStr">
        <is>
          <t>Humanismo Digital</t>
        </is>
      </c>
      <c r="E36" s="8" t="n"/>
      <c r="F36" s="9" t="inlineStr">
        <is>
          <t>Pensamiento crítico</t>
        </is>
      </c>
      <c r="G36" s="8" t="inlineStr">
        <is>
          <t>x</t>
        </is>
      </c>
      <c r="H36" s="8" t="inlineStr">
        <is>
          <t>Liderazgo colectivo</t>
        </is>
      </c>
      <c r="I36" s="8" t="n"/>
      <c r="J36" s="8" t="inlineStr">
        <is>
          <t>Competencias lingüísticas</t>
        </is>
      </c>
      <c r="K36" s="90" t="n"/>
      <c r="L36" s="8" t="n"/>
      <c r="M36" s="8" t="inlineStr">
        <is>
          <t>Orientación al servicio</t>
        </is>
      </c>
      <c r="N36" s="89" t="n"/>
      <c r="O36" s="89" t="n"/>
      <c r="P36" s="90" t="n"/>
      <c r="Q36" s="8" t="n"/>
      <c r="R36" s="89" t="n"/>
      <c r="S36" s="90" t="n"/>
      <c r="T36" s="10">
        <f>+COUNTIFS(D36:S37,"X",D36:S37,"x")</f>
        <v/>
      </c>
      <c r="U36" s="7" t="n"/>
      <c r="V36" s="7" t="n"/>
      <c r="W36" s="7" t="n"/>
      <c r="X36" s="7" t="n"/>
      <c r="Y36" s="7" t="n"/>
      <c r="Z36" s="7" t="n"/>
    </row>
    <row r="37" ht="30" customHeight="1" s="31">
      <c r="A37" s="94" t="n"/>
      <c r="B37" s="95" t="n"/>
      <c r="C37" s="96" t="n"/>
      <c r="D37" s="9" t="inlineStr">
        <is>
          <t>Creatividad, innovación y emprendimiento</t>
        </is>
      </c>
      <c r="E37" s="8" t="n"/>
      <c r="F37" s="9" t="inlineStr">
        <is>
          <t>Ética del cuidado y buen vivir</t>
        </is>
      </c>
      <c r="G37" s="8" t="inlineStr">
        <is>
          <t>x</t>
        </is>
      </c>
      <c r="H37" s="9" t="inlineStr">
        <is>
          <t>Desarrollo sostenible</t>
        </is>
      </c>
      <c r="I37" s="8" t="n"/>
      <c r="J37" s="8" t="inlineStr">
        <is>
          <t>Nuevas ciudadanías</t>
        </is>
      </c>
      <c r="K37" s="90" t="n"/>
      <c r="L37" s="8" t="n"/>
      <c r="M37" s="8" t="inlineStr">
        <is>
          <t>Habilidades tecnológicas y digitales</t>
        </is>
      </c>
      <c r="N37" s="89" t="n"/>
      <c r="O37" s="89" t="n"/>
      <c r="P37" s="90" t="n"/>
      <c r="Q37" s="8" t="n"/>
      <c r="R37" s="89" t="n"/>
      <c r="S37" s="90" t="n"/>
      <c r="T37" s="7" t="n"/>
      <c r="U37" s="7" t="n"/>
      <c r="V37" s="7" t="n"/>
      <c r="W37" s="7" t="n"/>
      <c r="X37" s="7" t="n"/>
      <c r="Y37" s="7" t="n"/>
      <c r="Z37" s="7" t="n"/>
    </row>
    <row r="38" ht="13.5" customHeight="1" s="31">
      <c r="A38" s="114" t="inlineStr">
        <is>
          <t>UNIDAD DE COMPETENCIA GENÉRICA ASOCIADA - UCGA</t>
        </is>
      </c>
      <c r="B38" s="87" t="n"/>
      <c r="C38" s="93" t="n"/>
      <c r="D38" s="115" t="inlineStr">
        <is>
          <t>Código</t>
        </is>
      </c>
      <c r="E38" s="90" t="n"/>
      <c r="F38" s="110" t="inlineStr">
        <is>
          <t>Unidades de competencia genéricas que desarrolla la asignatura</t>
        </is>
      </c>
      <c r="G38" s="89" t="n"/>
      <c r="H38" s="89" t="n"/>
      <c r="I38" s="89" t="n"/>
      <c r="J38" s="89" t="n"/>
      <c r="K38" s="89" t="n"/>
      <c r="L38" s="89" t="n"/>
      <c r="M38" s="89" t="n"/>
      <c r="N38" s="89" t="n"/>
      <c r="O38" s="89" t="n"/>
      <c r="P38" s="89" t="n"/>
      <c r="Q38" s="89" t="n"/>
      <c r="R38" s="89" t="n"/>
      <c r="S38" s="90" t="n"/>
      <c r="T38" s="7" t="n"/>
      <c r="U38" s="7" t="n"/>
      <c r="V38" s="7" t="n"/>
      <c r="W38" s="7" t="n"/>
      <c r="X38" s="7" t="n"/>
      <c r="Y38" s="7" t="n"/>
      <c r="Z38" s="7" t="n"/>
    </row>
    <row r="39" ht="33" customHeight="1" s="31">
      <c r="A39" s="92" t="n"/>
      <c r="C39" s="117" t="n"/>
      <c r="D39" s="8" t="inlineStr">
        <is>
          <t>C4</t>
        </is>
      </c>
      <c r="E39" s="90" t="n"/>
      <c r="F39" s="113" t="inlineStr">
        <is>
          <t>Analiza sistemáticamente la situación y tendencias de la salud poblacional, sus determinantes y de la vigilancia epidemiológica  para documentar desigualdades, acceso a los servicios y resultados en salud a partir de los fundamentos propios de la salud pública</t>
        </is>
      </c>
      <c r="G39" s="89" t="n"/>
      <c r="H39" s="89" t="n"/>
      <c r="I39" s="89" t="n"/>
      <c r="J39" s="89" t="n"/>
      <c r="K39" s="89" t="n"/>
      <c r="L39" s="89" t="n"/>
      <c r="M39" s="89" t="n"/>
      <c r="N39" s="89" t="n"/>
      <c r="O39" s="89" t="n"/>
      <c r="P39" s="89" t="n"/>
      <c r="Q39" s="89" t="n"/>
      <c r="R39" s="89" t="n"/>
      <c r="S39" s="90" t="n"/>
      <c r="T39" s="7" t="n"/>
      <c r="U39" s="7" t="n"/>
      <c r="V39" s="7" t="n"/>
      <c r="W39" s="7" t="n"/>
      <c r="X39" s="7" t="n"/>
      <c r="Y39" s="7" t="n"/>
      <c r="Z39" s="7" t="n"/>
    </row>
    <row r="40" ht="13.5" customHeight="1" s="31">
      <c r="A40" s="92" t="n"/>
      <c r="C40" s="117" t="n"/>
      <c r="D40" s="8" t="n"/>
      <c r="E40" s="90" t="n"/>
      <c r="F40" s="99" t="n"/>
      <c r="G40" s="89" t="n"/>
      <c r="H40" s="89" t="n"/>
      <c r="I40" s="89" t="n"/>
      <c r="J40" s="89" t="n"/>
      <c r="K40" s="89" t="n"/>
      <c r="L40" s="89" t="n"/>
      <c r="M40" s="89" t="n"/>
      <c r="N40" s="89" t="n"/>
      <c r="O40" s="89" t="n"/>
      <c r="P40" s="89" t="n"/>
      <c r="Q40" s="89" t="n"/>
      <c r="R40" s="89" t="n"/>
      <c r="S40" s="90" t="n"/>
      <c r="T40" s="7" t="n"/>
      <c r="U40" s="7" t="n"/>
      <c r="V40" s="7" t="n"/>
      <c r="W40" s="7" t="n"/>
      <c r="X40" s="7" t="n"/>
      <c r="Y40" s="7" t="n"/>
      <c r="Z40" s="7" t="n"/>
    </row>
    <row r="41" ht="13.5" customHeight="1" s="31">
      <c r="A41" s="92" t="n"/>
      <c r="C41" s="117" t="n"/>
      <c r="D41" s="8" t="n"/>
      <c r="E41" s="90" t="n"/>
      <c r="F41" s="99" t="n"/>
      <c r="G41" s="89" t="n"/>
      <c r="H41" s="89" t="n"/>
      <c r="I41" s="89" t="n"/>
      <c r="J41" s="89" t="n"/>
      <c r="K41" s="89" t="n"/>
      <c r="L41" s="89" t="n"/>
      <c r="M41" s="89" t="n"/>
      <c r="N41" s="89" t="n"/>
      <c r="O41" s="89" t="n"/>
      <c r="P41" s="89" t="n"/>
      <c r="Q41" s="89" t="n"/>
      <c r="R41" s="89" t="n"/>
      <c r="S41" s="90" t="n"/>
      <c r="T41" s="7" t="n"/>
      <c r="U41" s="7" t="n"/>
      <c r="V41" s="7" t="n"/>
      <c r="W41" s="7" t="n"/>
      <c r="X41" s="7" t="n"/>
      <c r="Y41" s="7" t="n"/>
      <c r="Z41" s="7" t="n"/>
    </row>
    <row r="42" ht="13.5" customHeight="1" s="31">
      <c r="A42" s="94" t="n"/>
      <c r="B42" s="95" t="n"/>
      <c r="C42" s="96" t="n"/>
      <c r="D42" s="8" t="n"/>
      <c r="E42" s="90" t="n"/>
      <c r="F42" s="99" t="n"/>
      <c r="G42" s="89" t="n"/>
      <c r="H42" s="89" t="n"/>
      <c r="I42" s="89" t="n"/>
      <c r="J42" s="89" t="n"/>
      <c r="K42" s="89" t="n"/>
      <c r="L42" s="89" t="n"/>
      <c r="M42" s="89" t="n"/>
      <c r="N42" s="89" t="n"/>
      <c r="O42" s="89" t="n"/>
      <c r="P42" s="89" t="n"/>
      <c r="Q42" s="89" t="n"/>
      <c r="R42" s="89" t="n"/>
      <c r="S42" s="90" t="n"/>
      <c r="T42" s="7" t="n"/>
      <c r="U42" s="7" t="n"/>
      <c r="V42" s="7" t="n"/>
      <c r="W42" s="7" t="n"/>
      <c r="X42" s="7" t="n"/>
      <c r="Y42" s="7" t="n"/>
      <c r="Z42" s="7" t="n"/>
    </row>
    <row r="43" ht="14.25" customHeight="1" s="31">
      <c r="A43" s="114" t="inlineStr">
        <is>
          <t>ELEMENTOS DE COMPETENCIA GENÉRICOS ASOCIADOS - ECGA</t>
        </is>
      </c>
      <c r="B43" s="87" t="n"/>
      <c r="C43" s="93" t="n"/>
      <c r="D43" s="115" t="inlineStr">
        <is>
          <t>Código</t>
        </is>
      </c>
      <c r="E43" s="90" t="n"/>
      <c r="F43" s="110" t="inlineStr">
        <is>
          <t>Elementos de competencia genéricas que desarrolla la asignatura</t>
        </is>
      </c>
      <c r="G43" s="89" t="n"/>
      <c r="H43" s="89" t="n"/>
      <c r="I43" s="89" t="n"/>
      <c r="J43" s="89" t="n"/>
      <c r="K43" s="89" t="n"/>
      <c r="L43" s="89" t="n"/>
      <c r="M43" s="89" t="n"/>
      <c r="N43" s="89" t="n"/>
      <c r="O43" s="89" t="n"/>
      <c r="P43" s="89" t="n"/>
      <c r="Q43" s="89" t="n"/>
      <c r="R43" s="89" t="n"/>
      <c r="S43" s="90" t="n"/>
      <c r="T43" s="7" t="n"/>
      <c r="U43" s="7" t="n"/>
      <c r="V43" s="7" t="n"/>
      <c r="W43" s="7" t="n"/>
      <c r="X43" s="7" t="n"/>
      <c r="Y43" s="7" t="n"/>
      <c r="Z43" s="7" t="n"/>
    </row>
    <row r="44" ht="28.5" customHeight="1" s="31">
      <c r="A44" s="92" t="n"/>
      <c r="C44" s="117" t="n"/>
      <c r="D44" s="8" t="inlineStr">
        <is>
          <t>EC4.1</t>
        </is>
      </c>
      <c r="E44" s="90" t="n"/>
      <c r="F44" s="113" t="inlineStr">
        <is>
          <t>Establece prioridades de salud pública empleando la información brindada por la  vigilancia epidemiológica para responder a las problemáticas en salud de la  población, con base en las funciones esenciales del
área.</t>
        </is>
      </c>
      <c r="G44" s="89" t="n"/>
      <c r="H44" s="89" t="n"/>
      <c r="I44" s="89" t="n"/>
      <c r="J44" s="89" t="n"/>
      <c r="K44" s="89" t="n"/>
      <c r="L44" s="89" t="n"/>
      <c r="M44" s="89" t="n"/>
      <c r="N44" s="89" t="n"/>
      <c r="O44" s="89" t="n"/>
      <c r="P44" s="89" t="n"/>
      <c r="Q44" s="89" t="n"/>
      <c r="R44" s="89" t="n"/>
      <c r="S44" s="90" t="n"/>
      <c r="T44" s="7" t="n"/>
      <c r="U44" s="7" t="n"/>
      <c r="V44" s="7" t="n"/>
      <c r="W44" s="7" t="n"/>
      <c r="X44" s="7" t="n"/>
      <c r="Y44" s="7" t="n"/>
      <c r="Z44" s="7" t="n"/>
    </row>
    <row r="45" ht="13.5" customHeight="1" s="31">
      <c r="A45" s="92" t="n"/>
      <c r="C45" s="117" t="n"/>
      <c r="D45" s="8" t="n"/>
      <c r="E45" s="90" t="n"/>
      <c r="F45" s="99" t="n"/>
      <c r="G45" s="89" t="n"/>
      <c r="H45" s="89" t="n"/>
      <c r="I45" s="89" t="n"/>
      <c r="J45" s="89" t="n"/>
      <c r="K45" s="89" t="n"/>
      <c r="L45" s="89" t="n"/>
      <c r="M45" s="89" t="n"/>
      <c r="N45" s="89" t="n"/>
      <c r="O45" s="89" t="n"/>
      <c r="P45" s="89" t="n"/>
      <c r="Q45" s="89" t="n"/>
      <c r="R45" s="89" t="n"/>
      <c r="S45" s="90" t="n"/>
      <c r="T45" s="7" t="n"/>
      <c r="U45" s="7" t="n"/>
      <c r="V45" s="7" t="n"/>
      <c r="W45" s="7" t="n"/>
      <c r="X45" s="7" t="n"/>
      <c r="Y45" s="7" t="n"/>
      <c r="Z45" s="7" t="n"/>
    </row>
    <row r="46" ht="13.5" customHeight="1" s="31">
      <c r="A46" s="92" t="n"/>
      <c r="C46" s="117" t="n"/>
      <c r="D46" s="8" t="n"/>
      <c r="E46" s="90" t="n"/>
      <c r="F46" s="99" t="n"/>
      <c r="G46" s="89" t="n"/>
      <c r="H46" s="89" t="n"/>
      <c r="I46" s="89" t="n"/>
      <c r="J46" s="89" t="n"/>
      <c r="K46" s="89" t="n"/>
      <c r="L46" s="89" t="n"/>
      <c r="M46" s="89" t="n"/>
      <c r="N46" s="89" t="n"/>
      <c r="O46" s="89" t="n"/>
      <c r="P46" s="89" t="n"/>
      <c r="Q46" s="89" t="n"/>
      <c r="R46" s="89" t="n"/>
      <c r="S46" s="90" t="n"/>
      <c r="T46" s="7" t="n"/>
      <c r="U46" s="7" t="n"/>
      <c r="V46" s="7" t="n"/>
      <c r="W46" s="7" t="n"/>
      <c r="X46" s="7" t="n"/>
      <c r="Y46" s="7" t="n"/>
      <c r="Z46" s="7" t="n"/>
    </row>
    <row r="47" ht="13.5" customHeight="1" s="31">
      <c r="A47" s="94" t="n"/>
      <c r="B47" s="95" t="n"/>
      <c r="C47" s="96" t="n"/>
      <c r="D47" s="8" t="n"/>
      <c r="E47" s="90" t="n"/>
      <c r="F47" s="99" t="n"/>
      <c r="G47" s="89" t="n"/>
      <c r="H47" s="89" t="n"/>
      <c r="I47" s="89" t="n"/>
      <c r="J47" s="89" t="n"/>
      <c r="K47" s="89" t="n"/>
      <c r="L47" s="89" t="n"/>
      <c r="M47" s="89" t="n"/>
      <c r="N47" s="89" t="n"/>
      <c r="O47" s="89" t="n"/>
      <c r="P47" s="89" t="n"/>
      <c r="Q47" s="89" t="n"/>
      <c r="R47" s="89" t="n"/>
      <c r="S47" s="90" t="n"/>
      <c r="T47" s="7" t="n"/>
      <c r="U47" s="7" t="n"/>
      <c r="V47" s="7" t="n"/>
      <c r="W47" s="7" t="n"/>
      <c r="X47" s="7" t="n"/>
      <c r="Y47" s="7" t="n"/>
      <c r="Z47" s="7" t="n"/>
    </row>
    <row r="48" ht="13.5" customHeight="1" s="31">
      <c r="A48" s="114" t="inlineStr">
        <is>
          <t>CRITERIOS DE REALIZACIÓN GENÉRICOS ASOCIADOS - CRGA</t>
        </is>
      </c>
      <c r="B48" s="87" t="n"/>
      <c r="C48" s="93" t="n"/>
      <c r="D48" s="115" t="inlineStr">
        <is>
          <t>Código</t>
        </is>
      </c>
      <c r="E48" s="90" t="n"/>
      <c r="F48" s="110" t="inlineStr">
        <is>
          <t>Criterios de realización de competencias genéricas que desarrolla la asignatura</t>
        </is>
      </c>
      <c r="G48" s="89" t="n"/>
      <c r="H48" s="89" t="n"/>
      <c r="I48" s="89" t="n"/>
      <c r="J48" s="89" t="n"/>
      <c r="K48" s="89" t="n"/>
      <c r="L48" s="89" t="n"/>
      <c r="M48" s="89" t="n"/>
      <c r="N48" s="89" t="n"/>
      <c r="O48" s="89" t="n"/>
      <c r="P48" s="89" t="n"/>
      <c r="Q48" s="89" t="n"/>
      <c r="R48" s="89" t="n"/>
      <c r="S48" s="90" t="n"/>
      <c r="T48" s="7" t="n"/>
      <c r="U48" s="7" t="n"/>
      <c r="V48" s="7" t="n"/>
      <c r="W48" s="7" t="n"/>
      <c r="X48" s="7" t="n"/>
      <c r="Y48" s="7" t="n"/>
      <c r="Z48" s="7" t="n"/>
    </row>
    <row r="49" ht="13.5" customHeight="1" s="31">
      <c r="A49" s="92" t="n"/>
      <c r="C49" s="117" t="n"/>
      <c r="D49" s="118" t="inlineStr">
        <is>
          <t>CR.4.1.</t>
        </is>
      </c>
      <c r="E49" s="90" t="n"/>
      <c r="F49" s="99" t="inlineStr">
        <is>
          <t>Conoce la historia, conceptos y enfoques conceptuales en salud pública</t>
        </is>
      </c>
      <c r="G49" s="89" t="n"/>
      <c r="H49" s="89" t="n"/>
      <c r="I49" s="89" t="n"/>
      <c r="J49" s="89" t="n"/>
      <c r="K49" s="89" t="n"/>
      <c r="L49" s="89" t="n"/>
      <c r="M49" s="89" t="n"/>
      <c r="N49" s="89" t="n"/>
      <c r="O49" s="89" t="n"/>
      <c r="P49" s="89" t="n"/>
      <c r="Q49" s="89" t="n"/>
      <c r="R49" s="89" t="n"/>
      <c r="S49" s="90" t="n"/>
      <c r="T49" s="7" t="n"/>
      <c r="U49" s="7" t="n"/>
      <c r="V49" s="7" t="n"/>
      <c r="W49" s="7" t="n"/>
      <c r="X49" s="7" t="n"/>
      <c r="Y49" s="7" t="n"/>
      <c r="Z49" s="7" t="n"/>
    </row>
    <row r="50" ht="13.5" customHeight="1" s="31">
      <c r="A50" s="92" t="n"/>
      <c r="C50" s="117" t="n"/>
      <c r="D50" s="118" t="inlineStr">
        <is>
          <t>CR.4.2.</t>
        </is>
      </c>
      <c r="E50" s="90" t="n"/>
      <c r="F50" s="99" t="inlineStr">
        <is>
          <t>Identifica los diferentes modelos de salud, los conceptos de promoción y prevención en salud, educación en salud, políticas públicas y sistemas de información.</t>
        </is>
      </c>
      <c r="G50" s="89" t="n"/>
      <c r="H50" s="89" t="n"/>
      <c r="I50" s="89" t="n"/>
      <c r="J50" s="89" t="n"/>
      <c r="K50" s="89" t="n"/>
      <c r="L50" s="89" t="n"/>
      <c r="M50" s="89" t="n"/>
      <c r="N50" s="89" t="n"/>
      <c r="O50" s="89" t="n"/>
      <c r="P50" s="89" t="n"/>
      <c r="Q50" s="89" t="n"/>
      <c r="R50" s="89" t="n"/>
      <c r="S50" s="90" t="n"/>
      <c r="T50" s="7" t="n"/>
      <c r="U50" s="7" t="n"/>
      <c r="V50" s="7" t="n"/>
      <c r="W50" s="7" t="n"/>
      <c r="X50" s="7" t="n"/>
      <c r="Y50" s="7" t="n"/>
      <c r="Z50" s="7" t="n"/>
    </row>
    <row r="51" ht="13.5" customHeight="1" s="31">
      <c r="A51" s="92" t="n"/>
      <c r="C51" s="117" t="n"/>
      <c r="D51" s="8" t="n"/>
      <c r="E51" s="90" t="n"/>
      <c r="F51" s="99" t="n"/>
      <c r="G51" s="89" t="n"/>
      <c r="H51" s="89" t="n"/>
      <c r="I51" s="89" t="n"/>
      <c r="J51" s="89" t="n"/>
      <c r="K51" s="89" t="n"/>
      <c r="L51" s="89" t="n"/>
      <c r="M51" s="89" t="n"/>
      <c r="N51" s="89" t="n"/>
      <c r="O51" s="89" t="n"/>
      <c r="P51" s="89" t="n"/>
      <c r="Q51" s="89" t="n"/>
      <c r="R51" s="89" t="n"/>
      <c r="S51" s="90" t="n"/>
      <c r="T51" s="7" t="n"/>
      <c r="U51" s="7" t="n"/>
      <c r="V51" s="7" t="n"/>
      <c r="W51" s="7" t="n"/>
      <c r="X51" s="7" t="n"/>
      <c r="Y51" s="7" t="n"/>
      <c r="Z51" s="7" t="n"/>
    </row>
    <row r="52" ht="13.5" customHeight="1" s="31">
      <c r="A52" s="94" t="n"/>
      <c r="B52" s="95" t="n"/>
      <c r="C52" s="96" t="n"/>
      <c r="D52" s="8" t="n"/>
      <c r="E52" s="90" t="n"/>
      <c r="F52" s="99" t="n"/>
      <c r="G52" s="89" t="n"/>
      <c r="H52" s="89" t="n"/>
      <c r="I52" s="89" t="n"/>
      <c r="J52" s="89" t="n"/>
      <c r="K52" s="89" t="n"/>
      <c r="L52" s="89" t="n"/>
      <c r="M52" s="89" t="n"/>
      <c r="N52" s="89" t="n"/>
      <c r="O52" s="89" t="n"/>
      <c r="P52" s="89" t="n"/>
      <c r="Q52" s="89" t="n"/>
      <c r="R52" s="89" t="n"/>
      <c r="S52" s="90" t="n"/>
      <c r="T52" s="7" t="n"/>
      <c r="U52" s="7" t="n"/>
      <c r="V52" s="7" t="n"/>
      <c r="W52" s="7" t="n"/>
      <c r="X52" s="7" t="n"/>
      <c r="Y52" s="7" t="n"/>
      <c r="Z52" s="7" t="n"/>
    </row>
    <row r="53" ht="34.5" customHeight="1" s="31">
      <c r="A53" s="119" t="inlineStr">
        <is>
          <t>ASPECTOS DE INTERNACIONALIZACIÓN DEL CURRÍCULO</t>
        </is>
      </c>
      <c r="B53" s="87" t="n"/>
      <c r="C53" s="93" t="n"/>
      <c r="D53" s="66" t="inlineStr">
        <is>
          <t>Uso de bibliografía en inglés</t>
        </is>
      </c>
      <c r="E53" s="12" t="n"/>
      <c r="F53" s="120" t="inlineStr">
        <is>
          <t>Desarrollo de sesiones y/o actividades 
evaluativas en inglés</t>
        </is>
      </c>
      <c r="G53" s="87" t="n"/>
      <c r="H53" s="93" t="n"/>
      <c r="I53" s="66" t="inlineStr">
        <is>
          <t>Desarrollo de sesiones por tutor externo</t>
        </is>
      </c>
      <c r="J53" s="87" t="n"/>
      <c r="K53" s="87" t="n"/>
      <c r="L53" s="13" t="n"/>
      <c r="M53" s="69" t="inlineStr">
        <is>
          <t>Otro (explique):</t>
        </is>
      </c>
      <c r="N53" s="121" t="n"/>
      <c r="O53" s="87" t="n"/>
      <c r="P53" s="87" t="n"/>
      <c r="Q53" s="87" t="n"/>
      <c r="R53" s="87" t="n"/>
      <c r="S53" s="93" t="n"/>
      <c r="T53" s="12" t="n"/>
      <c r="U53" s="12" t="n"/>
      <c r="V53" s="12" t="n"/>
      <c r="W53" s="12" t="n"/>
      <c r="X53" s="12" t="n"/>
      <c r="Y53" s="12" t="n"/>
      <c r="Z53" s="12" t="n"/>
    </row>
    <row r="54" ht="14.25" customHeight="1" s="31">
      <c r="A54" s="97" t="inlineStr">
        <is>
          <t>3. PROGRAMACIÓN DEL CONTENIDO</t>
        </is>
      </c>
      <c r="B54" s="89" t="n"/>
      <c r="C54" s="89" t="n"/>
      <c r="D54" s="89" t="n"/>
      <c r="E54" s="89" t="n"/>
      <c r="F54" s="89" t="n"/>
      <c r="G54" s="89" t="n"/>
      <c r="H54" s="89" t="n"/>
      <c r="I54" s="89" t="n"/>
      <c r="J54" s="89" t="n"/>
      <c r="K54" s="89" t="n"/>
      <c r="L54" s="89" t="n"/>
      <c r="M54" s="89" t="n"/>
      <c r="N54" s="89" t="n"/>
      <c r="O54" s="89" t="n"/>
      <c r="P54" s="89" t="n"/>
      <c r="Q54" s="89" t="n"/>
      <c r="R54" s="89" t="n"/>
      <c r="S54" s="90" t="n"/>
      <c r="T54" s="7" t="n"/>
      <c r="U54" s="7" t="n"/>
      <c r="V54" s="7" t="n"/>
      <c r="W54" s="7" t="n"/>
      <c r="X54" s="7" t="n"/>
      <c r="Y54" s="7" t="n"/>
      <c r="Z54" s="7" t="n"/>
    </row>
    <row r="55" ht="13.5" customHeight="1" s="31">
      <c r="A55" s="115" t="inlineStr">
        <is>
          <t>UNIDADES DE CONOCIMIENTO</t>
        </is>
      </c>
      <c r="B55" s="87" t="n"/>
      <c r="C55" s="93" t="n"/>
      <c r="D55" s="110" t="inlineStr">
        <is>
          <t>Temáticas</t>
        </is>
      </c>
      <c r="E55" s="89" t="n"/>
      <c r="F55" s="89" t="n"/>
      <c r="G55" s="89" t="n"/>
      <c r="H55" s="90" t="n"/>
      <c r="I55" s="110" t="inlineStr">
        <is>
          <t>Sub-temáticas</t>
        </is>
      </c>
      <c r="J55" s="89" t="n"/>
      <c r="K55" s="89" t="n"/>
      <c r="L55" s="89" t="n"/>
      <c r="M55" s="89" t="n"/>
      <c r="N55" s="89" t="n"/>
      <c r="O55" s="89" t="n"/>
      <c r="P55" s="89" t="n"/>
      <c r="Q55" s="89" t="n"/>
      <c r="R55" s="89" t="n"/>
      <c r="S55" s="90" t="n"/>
      <c r="T55" s="7" t="n"/>
      <c r="U55" s="7" t="n"/>
      <c r="V55" s="7" t="n"/>
      <c r="W55" s="7" t="n"/>
      <c r="X55" s="7" t="n"/>
      <c r="Y55" s="7" t="n"/>
      <c r="Z55" s="7" t="n"/>
    </row>
    <row r="56" ht="13.5" customHeight="1" s="31">
      <c r="A56" s="92" t="n"/>
      <c r="C56" s="117" t="n"/>
      <c r="D56" s="113" t="inlineStr">
        <is>
          <t>1. Conceptos Fundamentales y Funciones Esenciales de la Salud Pública. Conceptos fundamentales y evolución de la definición de Salud</t>
        </is>
      </c>
      <c r="E56" s="87" t="n"/>
      <c r="F56" s="87" t="n"/>
      <c r="G56" s="87" t="n"/>
      <c r="H56" s="93" t="n"/>
      <c r="I56" s="99" t="inlineStr">
        <is>
          <t>1.1. Epistemología del concepto salud</t>
        </is>
      </c>
      <c r="J56" s="89" t="n"/>
      <c r="K56" s="89" t="n"/>
      <c r="L56" s="89" t="n"/>
      <c r="M56" s="89" t="n"/>
      <c r="N56" s="89" t="n"/>
      <c r="O56" s="89" t="n"/>
      <c r="P56" s="89" t="n"/>
      <c r="Q56" s="89" t="n"/>
      <c r="R56" s="89" t="n"/>
      <c r="S56" s="90" t="n"/>
      <c r="T56" s="7" t="n"/>
      <c r="U56" s="7" t="n"/>
      <c r="V56" s="7" t="n"/>
      <c r="W56" s="7" t="n"/>
      <c r="X56" s="7" t="n"/>
      <c r="Y56" s="7" t="n"/>
      <c r="Z56" s="7" t="n"/>
    </row>
    <row r="57" ht="13.5" customHeight="1" s="31">
      <c r="A57" s="92" t="n"/>
      <c r="C57" s="117" t="n"/>
      <c r="D57" s="92" t="n"/>
      <c r="H57" s="117" t="n"/>
      <c r="I57" s="99" t="inlineStr">
        <is>
          <t>1.2. Concepto de salud enfermedad y de salud pública</t>
        </is>
      </c>
      <c r="J57" s="89" t="n"/>
      <c r="K57" s="89" t="n"/>
      <c r="L57" s="89" t="n"/>
      <c r="M57" s="89" t="n"/>
      <c r="N57" s="89" t="n"/>
      <c r="O57" s="89" t="n"/>
      <c r="P57" s="89" t="n"/>
      <c r="Q57" s="89" t="n"/>
      <c r="R57" s="89" t="n"/>
      <c r="S57" s="90" t="n"/>
      <c r="T57" s="7" t="n"/>
      <c r="U57" s="7" t="n"/>
      <c r="V57" s="7" t="n"/>
      <c r="W57" s="7" t="n"/>
      <c r="X57" s="7" t="n"/>
      <c r="Y57" s="7" t="n"/>
      <c r="Z57" s="7" t="n"/>
    </row>
    <row r="58" ht="13.5" customHeight="1" s="31">
      <c r="A58" s="92" t="n"/>
      <c r="C58" s="117" t="n"/>
      <c r="D58" s="92" t="n"/>
      <c r="H58" s="117" t="n"/>
      <c r="I58" s="99" t="inlineStr">
        <is>
          <t xml:space="preserve">1.3. Noción de salud pública. Historia de la salud </t>
        </is>
      </c>
      <c r="J58" s="89" t="n"/>
      <c r="K58" s="89" t="n"/>
      <c r="L58" s="89" t="n"/>
      <c r="M58" s="89" t="n"/>
      <c r="N58" s="89" t="n"/>
      <c r="O58" s="89" t="n"/>
      <c r="P58" s="89" t="n"/>
      <c r="Q58" s="89" t="n"/>
      <c r="R58" s="89" t="n"/>
      <c r="S58" s="90" t="n"/>
      <c r="T58" s="7" t="n"/>
      <c r="U58" s="7" t="n"/>
      <c r="V58" s="7" t="n"/>
      <c r="W58" s="7" t="n"/>
      <c r="X58" s="7" t="n"/>
      <c r="Y58" s="7" t="n"/>
      <c r="Z58" s="7" t="n"/>
    </row>
    <row r="59" ht="13.5" customHeight="1" s="31">
      <c r="A59" s="92" t="n"/>
      <c r="C59" s="117" t="n"/>
      <c r="D59" s="92" t="n"/>
      <c r="H59" s="117" t="n"/>
      <c r="I59" s="99" t="n"/>
      <c r="J59" s="89" t="n"/>
      <c r="K59" s="89" t="n"/>
      <c r="L59" s="89" t="n"/>
      <c r="M59" s="89" t="n"/>
      <c r="N59" s="89" t="n"/>
      <c r="O59" s="89" t="n"/>
      <c r="P59" s="89" t="n"/>
      <c r="Q59" s="89" t="n"/>
      <c r="R59" s="89" t="n"/>
      <c r="S59" s="90" t="n"/>
      <c r="T59" s="7" t="n"/>
      <c r="U59" s="7" t="n"/>
      <c r="V59" s="7" t="n"/>
      <c r="W59" s="7" t="n"/>
      <c r="X59" s="7" t="n"/>
      <c r="Y59" s="7" t="n"/>
      <c r="Z59" s="7" t="n"/>
    </row>
    <row r="60" ht="13.5" customHeight="1" s="31">
      <c r="A60" s="92" t="n"/>
      <c r="C60" s="117" t="n"/>
      <c r="D60" s="94" t="n"/>
      <c r="E60" s="95" t="n"/>
      <c r="F60" s="95" t="n"/>
      <c r="G60" s="95" t="n"/>
      <c r="H60" s="96" t="n"/>
      <c r="I60" s="99" t="n"/>
      <c r="J60" s="89" t="n"/>
      <c r="K60" s="89" t="n"/>
      <c r="L60" s="89" t="n"/>
      <c r="M60" s="89" t="n"/>
      <c r="N60" s="89" t="n"/>
      <c r="O60" s="89" t="n"/>
      <c r="P60" s="89" t="n"/>
      <c r="Q60" s="89" t="n"/>
      <c r="R60" s="89" t="n"/>
      <c r="S60" s="90" t="n"/>
      <c r="T60" s="7" t="n"/>
      <c r="U60" s="7" t="n"/>
      <c r="V60" s="7" t="n"/>
      <c r="W60" s="7" t="n"/>
      <c r="X60" s="7" t="n"/>
      <c r="Y60" s="7" t="n"/>
      <c r="Z60" s="7" t="n"/>
    </row>
    <row r="61" ht="13.5" customHeight="1" s="31">
      <c r="A61" s="92" t="n"/>
      <c r="C61" s="117" t="n"/>
      <c r="D61" s="113" t="inlineStr">
        <is>
          <t>2. Salud Pública: Historia, Modernidad y Globalización</t>
        </is>
      </c>
      <c r="E61" s="87" t="n"/>
      <c r="F61" s="87" t="n"/>
      <c r="G61" s="87" t="n"/>
      <c r="H61" s="93" t="n"/>
      <c r="I61" s="99" t="inlineStr">
        <is>
          <t xml:space="preserve">2.1. Transformaciones paradigmáticas del proceso salud-enfermedad desde la antigüedad hasta nuestros días </t>
        </is>
      </c>
      <c r="J61" s="89" t="n"/>
      <c r="K61" s="89" t="n"/>
      <c r="L61" s="89" t="n"/>
      <c r="M61" s="89" t="n"/>
      <c r="N61" s="89" t="n"/>
      <c r="O61" s="89" t="n"/>
      <c r="P61" s="89" t="n"/>
      <c r="Q61" s="89" t="n"/>
      <c r="R61" s="89" t="n"/>
      <c r="S61" s="90" t="n"/>
      <c r="T61" s="7" t="n"/>
      <c r="U61" s="7" t="n"/>
      <c r="V61" s="7" t="n"/>
      <c r="W61" s="7" t="n"/>
      <c r="X61" s="7" t="n"/>
      <c r="Y61" s="7" t="n"/>
      <c r="Z61" s="7" t="n"/>
    </row>
    <row r="62" ht="13.5" customHeight="1" s="31">
      <c r="A62" s="92" t="n"/>
      <c r="C62" s="117" t="n"/>
      <c r="D62" s="92" t="n"/>
      <c r="H62" s="117" t="n"/>
      <c r="I62" s="99" t="inlineStr">
        <is>
          <t>2.2. Interrelación entre Salud Publica, Modernidad y Globalización</t>
        </is>
      </c>
      <c r="J62" s="89" t="n"/>
      <c r="K62" s="89" t="n"/>
      <c r="L62" s="89" t="n"/>
      <c r="M62" s="89" t="n"/>
      <c r="N62" s="89" t="n"/>
      <c r="O62" s="89" t="n"/>
      <c r="P62" s="89" t="n"/>
      <c r="Q62" s="89" t="n"/>
      <c r="R62" s="89" t="n"/>
      <c r="S62" s="90" t="n"/>
      <c r="T62" s="7" t="n"/>
      <c r="U62" s="7" t="n"/>
      <c r="V62" s="7" t="n"/>
      <c r="W62" s="7" t="n"/>
      <c r="X62" s="7" t="n"/>
      <c r="Y62" s="7" t="n"/>
      <c r="Z62" s="7" t="n"/>
    </row>
    <row r="63" ht="13.5" customHeight="1" s="31">
      <c r="A63" s="92" t="n"/>
      <c r="C63" s="117" t="n"/>
      <c r="D63" s="92" t="n"/>
      <c r="H63" s="117" t="n"/>
      <c r="I63" s="99" t="inlineStr">
        <is>
          <t>2.3. Funciones esenciales de la salud pública</t>
        </is>
      </c>
      <c r="J63" s="89" t="n"/>
      <c r="K63" s="89" t="n"/>
      <c r="L63" s="89" t="n"/>
      <c r="M63" s="89" t="n"/>
      <c r="N63" s="89" t="n"/>
      <c r="O63" s="89" t="n"/>
      <c r="P63" s="89" t="n"/>
      <c r="Q63" s="89" t="n"/>
      <c r="R63" s="89" t="n"/>
      <c r="S63" s="90" t="n"/>
      <c r="T63" s="7" t="n"/>
      <c r="U63" s="7" t="n"/>
      <c r="V63" s="7" t="n"/>
      <c r="W63" s="7" t="n"/>
      <c r="X63" s="7" t="n"/>
      <c r="Y63" s="7" t="n"/>
      <c r="Z63" s="7" t="n"/>
    </row>
    <row r="64" ht="13.5" customHeight="1" s="31">
      <c r="A64" s="92" t="n"/>
      <c r="C64" s="117" t="n"/>
      <c r="D64" s="92" t="n"/>
      <c r="H64" s="117" t="n"/>
      <c r="I64" s="99" t="n"/>
      <c r="J64" s="89" t="n"/>
      <c r="K64" s="89" t="n"/>
      <c r="L64" s="89" t="n"/>
      <c r="M64" s="89" t="n"/>
      <c r="N64" s="89" t="n"/>
      <c r="O64" s="89" t="n"/>
      <c r="P64" s="89" t="n"/>
      <c r="Q64" s="89" t="n"/>
      <c r="R64" s="89" t="n"/>
      <c r="S64" s="90" t="n"/>
      <c r="T64" s="7" t="n"/>
      <c r="U64" s="7" t="n"/>
      <c r="V64" s="7" t="n"/>
      <c r="W64" s="7" t="n"/>
      <c r="X64" s="7" t="n"/>
      <c r="Y64" s="7" t="n"/>
      <c r="Z64" s="7" t="n"/>
    </row>
    <row r="65" ht="13.5" customHeight="1" s="31">
      <c r="A65" s="92" t="n"/>
      <c r="C65" s="117" t="n"/>
      <c r="D65" s="94" t="n"/>
      <c r="E65" s="95" t="n"/>
      <c r="F65" s="95" t="n"/>
      <c r="G65" s="95" t="n"/>
      <c r="H65" s="96" t="n"/>
      <c r="I65" s="99" t="n"/>
      <c r="J65" s="89" t="n"/>
      <c r="K65" s="89" t="n"/>
      <c r="L65" s="89" t="n"/>
      <c r="M65" s="89" t="n"/>
      <c r="N65" s="89" t="n"/>
      <c r="O65" s="89" t="n"/>
      <c r="P65" s="89" t="n"/>
      <c r="Q65" s="89" t="n"/>
      <c r="R65" s="89" t="n"/>
      <c r="S65" s="90" t="n"/>
      <c r="T65" s="7" t="n"/>
      <c r="U65" s="7" t="n"/>
      <c r="V65" s="7" t="n"/>
      <c r="W65" s="7" t="n"/>
      <c r="X65" s="7" t="n"/>
      <c r="Y65" s="7" t="n"/>
      <c r="Z65" s="7" t="n"/>
    </row>
    <row r="66" ht="13.5" customHeight="1" s="31">
      <c r="A66" s="92" t="n"/>
      <c r="C66" s="117" t="n"/>
      <c r="D66" s="113" t="inlineStr">
        <is>
          <t>3. Los fenómenos socioculturales, políticos y económicos Globales en Salud. Salud Global. Salud Internacional.</t>
        </is>
      </c>
      <c r="E66" s="87" t="n"/>
      <c r="F66" s="87" t="n"/>
      <c r="G66" s="87" t="n"/>
      <c r="H66" s="93" t="n"/>
      <c r="I66" s="99" t="inlineStr">
        <is>
          <t>3.1. Pensamiento complejo y salud- Poblaciones y comunidades</t>
        </is>
      </c>
      <c r="J66" s="89" t="n"/>
      <c r="K66" s="89" t="n"/>
      <c r="L66" s="89" t="n"/>
      <c r="M66" s="89" t="n"/>
      <c r="N66" s="89" t="n"/>
      <c r="O66" s="89" t="n"/>
      <c r="P66" s="89" t="n"/>
      <c r="Q66" s="89" t="n"/>
      <c r="R66" s="89" t="n"/>
      <c r="S66" s="90" t="n"/>
      <c r="T66" s="7" t="n"/>
      <c r="U66" s="7" t="n"/>
      <c r="V66" s="7" t="n"/>
      <c r="W66" s="7" t="n"/>
      <c r="X66" s="7" t="n"/>
      <c r="Y66" s="7" t="n"/>
      <c r="Z66" s="7" t="n"/>
    </row>
    <row r="67" ht="13.5" customHeight="1" s="31">
      <c r="A67" s="92" t="n"/>
      <c r="C67" s="117" t="n"/>
      <c r="D67" s="92" t="n"/>
      <c r="H67" s="117" t="n"/>
      <c r="I67" s="99" t="inlineStr">
        <is>
          <t xml:space="preserve">3.2. Pensamiento complejo fenómenos socio-políticos y económicos relacionados con la salud pública </t>
        </is>
      </c>
      <c r="J67" s="89" t="n"/>
      <c r="K67" s="89" t="n"/>
      <c r="L67" s="89" t="n"/>
      <c r="M67" s="89" t="n"/>
      <c r="N67" s="89" t="n"/>
      <c r="O67" s="89" t="n"/>
      <c r="P67" s="89" t="n"/>
      <c r="Q67" s="89" t="n"/>
      <c r="R67" s="89" t="n"/>
      <c r="S67" s="90" t="n"/>
      <c r="T67" s="7" t="n"/>
      <c r="U67" s="7" t="n"/>
      <c r="V67" s="7" t="n"/>
      <c r="W67" s="7" t="n"/>
      <c r="X67" s="7" t="n"/>
      <c r="Y67" s="7" t="n"/>
      <c r="Z67" s="7" t="n"/>
    </row>
    <row r="68" ht="13.5" customHeight="1" s="31">
      <c r="A68" s="92" t="n"/>
      <c r="C68" s="117" t="n"/>
      <c r="D68" s="92" t="n"/>
      <c r="H68" s="117" t="n"/>
      <c r="I68" s="99" t="inlineStr">
        <is>
          <t xml:space="preserve">3.3. Salud Internacional, implicaciones de la IA en la salud </t>
        </is>
      </c>
      <c r="J68" s="89" t="n"/>
      <c r="K68" s="89" t="n"/>
      <c r="L68" s="89" t="n"/>
      <c r="M68" s="89" t="n"/>
      <c r="N68" s="89" t="n"/>
      <c r="O68" s="89" t="n"/>
      <c r="P68" s="89" t="n"/>
      <c r="Q68" s="89" t="n"/>
      <c r="R68" s="89" t="n"/>
      <c r="S68" s="90" t="n"/>
      <c r="T68" s="7" t="n"/>
      <c r="U68" s="7" t="n"/>
      <c r="V68" s="7" t="n"/>
      <c r="W68" s="7" t="n"/>
      <c r="X68" s="7" t="n"/>
      <c r="Y68" s="7" t="n"/>
      <c r="Z68" s="7" t="n"/>
    </row>
    <row r="69" ht="13.5" customHeight="1" s="31">
      <c r="A69" s="92" t="n"/>
      <c r="C69" s="117" t="n"/>
      <c r="D69" s="92" t="n"/>
      <c r="H69" s="117" t="n"/>
      <c r="I69" s="99" t="n"/>
      <c r="J69" s="89" t="n"/>
      <c r="K69" s="89" t="n"/>
      <c r="L69" s="89" t="n"/>
      <c r="M69" s="89" t="n"/>
      <c r="N69" s="89" t="n"/>
      <c r="O69" s="89" t="n"/>
      <c r="P69" s="89" t="n"/>
      <c r="Q69" s="89" t="n"/>
      <c r="R69" s="89" t="n"/>
      <c r="S69" s="90" t="n"/>
      <c r="T69" s="7" t="n"/>
      <c r="U69" s="7" t="n"/>
      <c r="V69" s="7" t="n"/>
      <c r="W69" s="7" t="n"/>
      <c r="X69" s="7" t="n"/>
      <c r="Y69" s="7" t="n"/>
      <c r="Z69" s="7" t="n"/>
    </row>
    <row r="70" ht="13.5" customHeight="1" s="31">
      <c r="A70" s="92" t="n"/>
      <c r="C70" s="117" t="n"/>
      <c r="D70" s="94" t="n"/>
      <c r="E70" s="95" t="n"/>
      <c r="F70" s="95" t="n"/>
      <c r="G70" s="95" t="n"/>
      <c r="H70" s="96" t="n"/>
      <c r="I70" s="99" t="n"/>
      <c r="J70" s="89" t="n"/>
      <c r="K70" s="89" t="n"/>
      <c r="L70" s="89" t="n"/>
      <c r="M70" s="89" t="n"/>
      <c r="N70" s="89" t="n"/>
      <c r="O70" s="89" t="n"/>
      <c r="P70" s="89" t="n"/>
      <c r="Q70" s="89" t="n"/>
      <c r="R70" s="89" t="n"/>
      <c r="S70" s="90" t="n"/>
      <c r="T70" s="7" t="n"/>
      <c r="U70" s="7" t="n"/>
      <c r="V70" s="7" t="n"/>
      <c r="W70" s="7" t="n"/>
      <c r="X70" s="7" t="n"/>
      <c r="Y70" s="7" t="n"/>
      <c r="Z70" s="7" t="n"/>
    </row>
    <row r="71" ht="13.5" customHeight="1" s="31">
      <c r="A71" s="92" t="n"/>
      <c r="C71" s="117" t="n"/>
      <c r="D71" s="99" t="inlineStr">
        <is>
          <t>4.Corrientes en Salud Pública</t>
        </is>
      </c>
      <c r="E71" s="87" t="n"/>
      <c r="F71" s="87" t="n"/>
      <c r="G71" s="87" t="n"/>
      <c r="H71" s="93" t="n"/>
      <c r="I71" s="99" t="inlineStr">
        <is>
          <t>4.1. Corrientes del pensamiento en el campo de la salud</t>
        </is>
      </c>
      <c r="J71" s="89" t="n"/>
      <c r="K71" s="89" t="n"/>
      <c r="L71" s="89" t="n"/>
      <c r="M71" s="89" t="n"/>
      <c r="N71" s="89" t="n"/>
      <c r="O71" s="89" t="n"/>
      <c r="P71" s="89" t="n"/>
      <c r="Q71" s="89" t="n"/>
      <c r="R71" s="89" t="n"/>
      <c r="S71" s="90" t="n"/>
      <c r="T71" s="7" t="n"/>
      <c r="U71" s="7" t="n"/>
      <c r="V71" s="7" t="n"/>
      <c r="W71" s="7" t="n"/>
      <c r="X71" s="7" t="n"/>
      <c r="Y71" s="7" t="n"/>
      <c r="Z71" s="7" t="n"/>
    </row>
    <row r="72" ht="13.5" customHeight="1" s="31">
      <c r="A72" s="92" t="n"/>
      <c r="C72" s="117" t="n"/>
      <c r="D72" s="92" t="n"/>
      <c r="H72" s="117" t="n"/>
      <c r="I72" s="99" t="inlineStr">
        <is>
          <t>4.2 Medicina Social, Salud Colectiva, Epidemiología Social, Nueva Salud Pública</t>
        </is>
      </c>
      <c r="J72" s="89" t="n"/>
      <c r="K72" s="89" t="n"/>
      <c r="L72" s="89" t="n"/>
      <c r="M72" s="89" t="n"/>
      <c r="N72" s="89" t="n"/>
      <c r="O72" s="89" t="n"/>
      <c r="P72" s="89" t="n"/>
      <c r="Q72" s="89" t="n"/>
      <c r="R72" s="89" t="n"/>
      <c r="S72" s="90" t="n"/>
      <c r="T72" s="7" t="n"/>
      <c r="U72" s="7" t="n"/>
      <c r="V72" s="7" t="n"/>
      <c r="W72" s="7" t="n"/>
      <c r="X72" s="7" t="n"/>
      <c r="Y72" s="7" t="n"/>
      <c r="Z72" s="7" t="n"/>
    </row>
    <row r="73" ht="13.5" customHeight="1" s="31">
      <c r="A73" s="92" t="n"/>
      <c r="C73" s="117" t="n"/>
      <c r="D73" s="92" t="n"/>
      <c r="H73" s="117" t="n"/>
      <c r="I73" s="99" t="inlineStr">
        <is>
          <t>4.3. Epidemiología Anglosajona (Ecosocial) y Epidemiología Crítica (Medicina Soclal Latinoamericana)</t>
        </is>
      </c>
      <c r="J73" s="89" t="n"/>
      <c r="K73" s="89" t="n"/>
      <c r="L73" s="89" t="n"/>
      <c r="M73" s="89" t="n"/>
      <c r="N73" s="89" t="n"/>
      <c r="O73" s="89" t="n"/>
      <c r="P73" s="89" t="n"/>
      <c r="Q73" s="89" t="n"/>
      <c r="R73" s="89" t="n"/>
      <c r="S73" s="90" t="n"/>
      <c r="T73" s="7" t="n"/>
      <c r="U73" s="7" t="n"/>
      <c r="V73" s="7" t="n"/>
      <c r="W73" s="7" t="n"/>
      <c r="X73" s="7" t="n"/>
      <c r="Y73" s="7" t="n"/>
      <c r="Z73" s="7" t="n"/>
    </row>
    <row r="74" ht="13.5" customHeight="1" s="31">
      <c r="A74" s="92" t="n"/>
      <c r="C74" s="117" t="n"/>
      <c r="D74" s="92" t="n"/>
      <c r="H74" s="117" t="n"/>
      <c r="I74" s="99" t="n"/>
      <c r="J74" s="89" t="n"/>
      <c r="K74" s="89" t="n"/>
      <c r="L74" s="89" t="n"/>
      <c r="M74" s="89" t="n"/>
      <c r="N74" s="89" t="n"/>
      <c r="O74" s="89" t="n"/>
      <c r="P74" s="89" t="n"/>
      <c r="Q74" s="89" t="n"/>
      <c r="R74" s="89" t="n"/>
      <c r="S74" s="90" t="n"/>
      <c r="T74" s="7" t="n"/>
      <c r="U74" s="7" t="n"/>
      <c r="V74" s="7" t="n"/>
      <c r="W74" s="7" t="n"/>
      <c r="X74" s="7" t="n"/>
      <c r="Y74" s="7" t="n"/>
      <c r="Z74" s="7" t="n"/>
    </row>
    <row r="75" ht="13.5" customHeight="1" s="31">
      <c r="A75" s="94" t="n"/>
      <c r="B75" s="95" t="n"/>
      <c r="C75" s="96" t="n"/>
      <c r="D75" s="94" t="n"/>
      <c r="E75" s="95" t="n"/>
      <c r="F75" s="95" t="n"/>
      <c r="G75" s="95" t="n"/>
      <c r="H75" s="96" t="n"/>
      <c r="I75" s="99" t="n"/>
      <c r="J75" s="89" t="n"/>
      <c r="K75" s="89" t="n"/>
      <c r="L75" s="89" t="n"/>
      <c r="M75" s="89" t="n"/>
      <c r="N75" s="89" t="n"/>
      <c r="O75" s="89" t="n"/>
      <c r="P75" s="89" t="n"/>
      <c r="Q75" s="89" t="n"/>
      <c r="R75" s="89" t="n"/>
      <c r="S75" s="90" t="n"/>
      <c r="T75" s="7" t="n"/>
      <c r="U75" s="7" t="n"/>
      <c r="V75" s="7" t="n"/>
      <c r="W75" s="7" t="n"/>
      <c r="X75" s="7" t="n"/>
      <c r="Y75" s="7" t="n"/>
      <c r="Z75" s="7" t="n"/>
    </row>
    <row r="76" ht="107" customHeight="1" s="31">
      <c r="A76" s="114" t="inlineStr">
        <is>
          <t>METODOLOGÍA DIDÁCTICA A UTILIZAR EN EL DESARROLLO DE LA ASIGNATURA</t>
        </is>
      </c>
      <c r="B76" s="89" t="n"/>
      <c r="C76" s="90" t="n"/>
      <c r="D76" s="113" t="inlineStr">
        <is>
          <t>La asignatura por su carácter teórico  se desarrollará en tres momentos. 1) un primer momento de presentación de la problemática a resolver, establecimiento de grupos y metodología de trabajo entorno a la problemática, 2) un segundo momento    donde se presentarán los diferentes saberes que el estudiante debe conocer para dar solución a la problemática y 3) trabajo en equipo para la solución de la problemática y presentación ante sus compañeros de la solución encontrada. Así mismo de   manera paralela durante el desarrollo de cada momento, se hará  fortalecimiento de Conceptualización, dada por la discusión de lecturas y la exposición magistral del docente; el análisis de una situación o caso actual del País o del ámbito Global como concreción de lo expuesto, y un cierre argumentativo y debate que permite a los estudiantes presentar la elaboración y apropiación progresiva del espacio formativo.  En todos los momentos de la asignatura, existen diferentes apoyos literarios como: referentes bibliográficos, documentos en bases de datos institucionales y la web con material audiovisual-documental, acompañados de recursos y actividades que facilitan la comprensión del estudio propuesto. Por consiguiente, cada momento del curso está conducido por una pregunta detonante, que invita al estudiante a un aprendizaje desde el descubrimiento, la síntesis, el análisis, la reflexión y la acción. En esencia es un Aprendizaje Basado en Problemas (ABP), de tipo colaborativo e individual, que pretende involucrar la experiencia de los estudiantes en el conocimiento, a través de ejercicios de análisis, argumentación, observación, escritura, comunicación oral y creativa, talleres y retos. El ABP es una metodología didáctica que permite desarrollar   la capacidad del estudiante para resolver situaciones de la vida real a partir de la aplicación de funciones cognitivas, el desarrollo de actitudes y la apropiación del conocimiento (Vargas Beltrán,G 2017), en la cual se enfrenta a los estudiantes a una situación problemática relevante y normalmente ficticia, para la que no se requiere una solución real (Larmer, 2015, tomado de Tecnológico de Monterrey, 2015).</t>
        </is>
      </c>
      <c r="E76" s="89" t="n"/>
      <c r="F76" s="89" t="n"/>
      <c r="G76" s="89" t="n"/>
      <c r="H76" s="89" t="n"/>
      <c r="I76" s="89" t="n"/>
      <c r="J76" s="89" t="n"/>
      <c r="K76" s="89" t="n"/>
      <c r="L76" s="89" t="n"/>
      <c r="M76" s="89" t="n"/>
      <c r="N76" s="89" t="n"/>
      <c r="O76" s="89" t="n"/>
      <c r="P76" s="89" t="n"/>
      <c r="Q76" s="89" t="n"/>
      <c r="R76" s="89" t="n"/>
      <c r="S76" s="90" t="n"/>
      <c r="T76" s="7" t="n"/>
      <c r="U76" s="7" t="n"/>
      <c r="V76" s="7" t="n"/>
      <c r="W76" s="7" t="n"/>
      <c r="X76" s="7" t="n"/>
      <c r="Y76" s="7" t="n"/>
      <c r="Z76" s="7" t="n"/>
    </row>
    <row r="77" ht="60" customHeight="1" s="31">
      <c r="A77" s="114" t="inlineStr">
        <is>
          <t>PERFIL DEL DOCENTE</t>
        </is>
      </c>
      <c r="B77" s="89" t="n"/>
      <c r="C77" s="90" t="n"/>
      <c r="D77" s="99" t="inlineStr">
        <is>
          <t>Doctorado en Ciencias Sociales o en Salud Pública. Con énfasis en investigación y manejo de Teorías en Salud Pública y Globalización  con capacidad crítica e interés por el análisis del contexto histórico y socio-cultural del país en un Mundo Globalizado.</t>
        </is>
      </c>
      <c r="E77" s="89" t="n"/>
      <c r="F77" s="89" t="n"/>
      <c r="G77" s="89" t="n"/>
      <c r="H77" s="89" t="n"/>
      <c r="I77" s="89" t="n"/>
      <c r="J77" s="89" t="n"/>
      <c r="K77" s="89" t="n"/>
      <c r="L77" s="89" t="n"/>
      <c r="M77" s="89" t="n"/>
      <c r="N77" s="89" t="n"/>
      <c r="O77" s="89" t="n"/>
      <c r="P77" s="89" t="n"/>
      <c r="Q77" s="89" t="n"/>
      <c r="R77" s="89" t="n"/>
      <c r="S77" s="90" t="n"/>
      <c r="T77" s="7" t="n"/>
      <c r="U77" s="7" t="n"/>
      <c r="V77" s="7" t="n"/>
      <c r="W77" s="7" t="n"/>
      <c r="X77" s="7" t="n"/>
      <c r="Y77" s="7" t="n"/>
      <c r="Z77" s="7" t="n"/>
    </row>
    <row r="78" ht="14.25" customHeight="1" s="31">
      <c r="A78" s="122" t="inlineStr">
        <is>
          <t>4. SISTEMA DE EVALUACIÓN</t>
        </is>
      </c>
      <c r="B78" s="95" t="n"/>
      <c r="C78" s="95" t="n"/>
      <c r="D78" s="95" t="n"/>
      <c r="E78" s="95" t="n"/>
      <c r="F78" s="95" t="n"/>
      <c r="G78" s="95" t="n"/>
      <c r="H78" s="95" t="n"/>
      <c r="I78" s="95" t="n"/>
      <c r="J78" s="95" t="n"/>
      <c r="K78" s="95" t="n"/>
      <c r="L78" s="95" t="n"/>
      <c r="M78" s="95" t="n"/>
      <c r="N78" s="95" t="n"/>
      <c r="O78" s="95" t="n"/>
      <c r="P78" s="95" t="n"/>
      <c r="Q78" s="95" t="n"/>
      <c r="R78" s="95" t="n"/>
      <c r="S78" s="96" t="n"/>
      <c r="T78" s="7" t="n"/>
      <c r="U78" s="7" t="n"/>
      <c r="V78" s="7" t="n"/>
      <c r="W78" s="7" t="n"/>
      <c r="X78" s="7" t="n"/>
      <c r="Y78" s="7" t="n"/>
      <c r="Z78" s="7" t="n"/>
    </row>
    <row r="79" ht="13.5" customHeight="1" s="31">
      <c r="A79" s="106" t="inlineStr">
        <is>
          <t>1er. Corte (30%)</t>
        </is>
      </c>
      <c r="B79" s="89" t="n"/>
      <c r="C79" s="89" t="n"/>
      <c r="D79" s="89" t="n"/>
      <c r="E79" s="89" t="n"/>
      <c r="F79" s="90" t="n"/>
      <c r="G79" s="106" t="inlineStr">
        <is>
          <t>2do. Corte (30%)</t>
        </is>
      </c>
      <c r="H79" s="89" t="n"/>
      <c r="I79" s="89" t="n"/>
      <c r="J79" s="89" t="n"/>
      <c r="K79" s="89" t="n"/>
      <c r="L79" s="90" t="n"/>
      <c r="M79" s="106" t="inlineStr">
        <is>
          <t>3er. Corte (40%)</t>
        </is>
      </c>
      <c r="N79" s="89" t="n"/>
      <c r="O79" s="89" t="n"/>
      <c r="P79" s="89" t="n"/>
      <c r="Q79" s="89" t="n"/>
      <c r="R79" s="89" t="n"/>
      <c r="S79" s="90" t="n"/>
      <c r="T79" s="7" t="n"/>
      <c r="U79" s="7" t="n"/>
      <c r="V79" s="7" t="n"/>
      <c r="W79" s="7" t="n"/>
      <c r="X79" s="7" t="n"/>
      <c r="Y79" s="7" t="n"/>
      <c r="Z79" s="7" t="n"/>
    </row>
    <row r="80" ht="13.5" customHeight="1" s="31">
      <c r="A80" s="123" t="inlineStr">
        <is>
          <t>Actividades mínimas requeridas</t>
        </is>
      </c>
      <c r="B80" s="89" t="n"/>
      <c r="C80" s="89" t="n"/>
      <c r="D80" s="90" t="n"/>
      <c r="E80" s="15" t="inlineStr">
        <is>
          <t>Cód. ECA</t>
        </is>
      </c>
      <c r="F80" s="15" t="inlineStr">
        <is>
          <t>Cód. ECGA</t>
        </is>
      </c>
      <c r="G80" s="123" t="inlineStr">
        <is>
          <t>Actividades mínimas requeridas</t>
        </is>
      </c>
      <c r="H80" s="89" t="n"/>
      <c r="I80" s="89" t="n"/>
      <c r="J80" s="90" t="n"/>
      <c r="K80" s="15" t="inlineStr">
        <is>
          <t>Cód. ECA</t>
        </is>
      </c>
      <c r="L80" s="15" t="inlineStr">
        <is>
          <t>Cód. ECGA</t>
        </is>
      </c>
      <c r="M80" s="83" t="inlineStr">
        <is>
          <t>Actividades mínimas requeridas</t>
        </is>
      </c>
      <c r="N80" s="89" t="n"/>
      <c r="O80" s="89" t="n"/>
      <c r="P80" s="15" t="inlineStr">
        <is>
          <t>Cód. ECA</t>
        </is>
      </c>
      <c r="Q80" s="90" t="n"/>
      <c r="R80" s="15" t="inlineStr">
        <is>
          <t>Cód. ECGA</t>
        </is>
      </c>
      <c r="S80" s="90" t="n"/>
      <c r="T80" s="16" t="n"/>
      <c r="U80" s="16" t="n"/>
      <c r="V80" s="16" t="n"/>
      <c r="W80" s="16" t="n"/>
      <c r="X80" s="16" t="n"/>
      <c r="Y80" s="16" t="n"/>
      <c r="Z80" s="16" t="n"/>
    </row>
    <row r="81" ht="45.75" customHeight="1" s="31">
      <c r="A81" s="124" t="inlineStr">
        <is>
          <t>1. Ensayo crítico individual
“El proceso salud-enfermedad y su relación con el contexto histórico y social en los territorios”</t>
        </is>
      </c>
      <c r="B81" s="89" t="n"/>
      <c r="C81" s="89" t="n"/>
      <c r="D81" s="90" t="n"/>
      <c r="E81" s="8" t="inlineStr">
        <is>
          <t xml:space="preserve">EC.1.3.	</t>
        </is>
      </c>
      <c r="F81" s="17" t="n"/>
      <c r="G81" s="124" t="inlineStr">
        <is>
          <t>1. Actividad individual
Comentario crítico de lectura sobre: Salud global, determinantes sociales, complejidad en salud.</t>
        </is>
      </c>
      <c r="H81" s="89" t="n"/>
      <c r="I81" s="89" t="n"/>
      <c r="J81" s="90" t="n"/>
      <c r="K81" s="17" t="inlineStr">
        <is>
          <t>EC.2.1.</t>
        </is>
      </c>
      <c r="L81" s="8" t="n"/>
      <c r="M81" s="113" t="inlineStr">
        <is>
          <t>1. Actividad individual
Mapa mental analítico comparativo de corrientes de pensamiento en salud pública y sustentación oral</t>
        </is>
      </c>
      <c r="N81" s="89" t="n"/>
      <c r="O81" s="90" t="n"/>
      <c r="P81" s="8" t="inlineStr">
        <is>
          <t>EC.2.4.</t>
        </is>
      </c>
      <c r="Q81" s="90" t="n"/>
      <c r="R81" s="8" t="n"/>
      <c r="S81" s="90" t="n"/>
      <c r="T81" s="7" t="n"/>
      <c r="U81" s="7" t="n"/>
      <c r="V81" s="7" t="n"/>
      <c r="W81" s="7" t="n"/>
      <c r="X81" s="7" t="n"/>
      <c r="Y81" s="7" t="n"/>
      <c r="Z81" s="7" t="n"/>
    </row>
    <row r="82" ht="52.5" customHeight="1" s="31">
      <c r="A82" s="124" t="inlineStr">
        <is>
          <t>2.Actividad grupal
Análisis territorial de un problema de salud</t>
        </is>
      </c>
      <c r="B82" s="89" t="n"/>
      <c r="C82" s="89" t="n"/>
      <c r="D82" s="90" t="n"/>
      <c r="E82" s="8" t="inlineStr">
        <is>
          <t>EC.2.1.</t>
        </is>
      </c>
      <c r="F82" s="17" t="n"/>
      <c r="G82" s="124" t="inlineStr">
        <is>
          <t>2.Actividad grupal
Debate estructurado sobre ¿Los procesos de globalización han mejorado o profundizado las inequidades en salud?</t>
        </is>
      </c>
      <c r="H82" s="89" t="n"/>
      <c r="I82" s="89" t="n"/>
      <c r="J82" s="90" t="n"/>
      <c r="K82" s="17" t="inlineStr">
        <is>
          <t>EC.2.1.</t>
        </is>
      </c>
      <c r="L82" s="8" t="n"/>
      <c r="M82" s="113" t="inlineStr">
        <is>
          <t>2.PRESENTACIONES FINALES - Actividad grupal 
Diseño de una estrategia de intervención territorial basada en la determinación social de la salud y los enfoques de la salud colectiva.</t>
        </is>
      </c>
      <c r="N82" s="89" t="n"/>
      <c r="O82" s="90" t="n"/>
      <c r="P82" s="8" t="inlineStr">
        <is>
          <t>EC.2.4.</t>
        </is>
      </c>
      <c r="Q82" s="90" t="n"/>
      <c r="R82" s="8" t="n"/>
      <c r="S82" s="90" t="n"/>
      <c r="T82" s="7" t="n"/>
      <c r="U82" s="7" t="n"/>
      <c r="V82" s="7" t="n"/>
      <c r="W82" s="7" t="n"/>
      <c r="X82" s="7" t="n"/>
      <c r="Y82" s="7" t="n"/>
      <c r="Z82" s="7" t="n"/>
    </row>
    <row r="83" ht="13.5" customHeight="1" s="31">
      <c r="A83" s="125" t="inlineStr">
        <is>
          <t>3.</t>
        </is>
      </c>
      <c r="B83" s="89" t="n"/>
      <c r="C83" s="89" t="n"/>
      <c r="D83" s="90" t="n"/>
      <c r="E83" s="8" t="n"/>
      <c r="F83" s="17" t="n"/>
      <c r="G83" s="125" t="inlineStr">
        <is>
          <t>3.</t>
        </is>
      </c>
      <c r="H83" s="89" t="n"/>
      <c r="I83" s="89" t="n"/>
      <c r="J83" s="90" t="n"/>
      <c r="K83" s="17" t="n"/>
      <c r="L83" s="8" t="n"/>
      <c r="M83" s="99" t="inlineStr">
        <is>
          <t>3.</t>
        </is>
      </c>
      <c r="N83" s="89" t="n"/>
      <c r="O83" s="90" t="n"/>
      <c r="P83" s="8" t="n"/>
      <c r="Q83" s="90" t="n"/>
      <c r="R83" s="8" t="n"/>
      <c r="S83" s="90" t="n"/>
      <c r="T83" s="7" t="n"/>
      <c r="U83" s="7" t="n"/>
      <c r="V83" s="7" t="n"/>
      <c r="W83" s="7" t="n"/>
      <c r="X83" s="7" t="n"/>
      <c r="Y83" s="7" t="n"/>
      <c r="Z83" s="7" t="n"/>
    </row>
    <row r="84" ht="13.5" customHeight="1" s="31">
      <c r="A84" s="125" t="inlineStr">
        <is>
          <t>4.</t>
        </is>
      </c>
      <c r="B84" s="89" t="n"/>
      <c r="C84" s="89" t="n"/>
      <c r="D84" s="90" t="n"/>
      <c r="E84" s="8" t="n"/>
      <c r="F84" s="17" t="n"/>
      <c r="G84" s="125" t="inlineStr">
        <is>
          <t>4.</t>
        </is>
      </c>
      <c r="H84" s="89" t="n"/>
      <c r="I84" s="89" t="n"/>
      <c r="J84" s="90" t="n"/>
      <c r="K84" s="17" t="n"/>
      <c r="L84" s="8" t="n"/>
      <c r="M84" s="99" t="inlineStr">
        <is>
          <t>4.</t>
        </is>
      </c>
      <c r="N84" s="89" t="n"/>
      <c r="O84" s="90" t="n"/>
      <c r="P84" s="8" t="n"/>
      <c r="Q84" s="90" t="n"/>
      <c r="R84" s="8" t="n"/>
      <c r="S84" s="90" t="n"/>
      <c r="T84" s="7" t="n"/>
      <c r="U84" s="7" t="n"/>
      <c r="V84" s="7" t="n"/>
      <c r="W84" s="7" t="n"/>
      <c r="X84" s="7" t="n"/>
      <c r="Y84" s="7" t="n"/>
      <c r="Z84" s="7" t="n"/>
    </row>
    <row r="85" ht="13.5" customHeight="1" s="31">
      <c r="A85" s="125" t="inlineStr">
        <is>
          <t>n.</t>
        </is>
      </c>
      <c r="B85" s="89" t="n"/>
      <c r="C85" s="89" t="n"/>
      <c r="D85" s="90" t="n"/>
      <c r="E85" s="8" t="n"/>
      <c r="F85" s="17" t="n"/>
      <c r="G85" s="125" t="inlineStr">
        <is>
          <t>n.</t>
        </is>
      </c>
      <c r="H85" s="89" t="n"/>
      <c r="I85" s="89" t="n"/>
      <c r="J85" s="90" t="n"/>
      <c r="K85" s="17" t="n"/>
      <c r="L85" s="8" t="n"/>
      <c r="M85" s="99" t="inlineStr">
        <is>
          <t>n.</t>
        </is>
      </c>
      <c r="N85" s="89" t="n"/>
      <c r="O85" s="90" t="n"/>
      <c r="P85" s="8" t="n"/>
      <c r="Q85" s="90" t="n"/>
      <c r="R85" s="8" t="n"/>
      <c r="S85" s="90" t="n"/>
      <c r="T85" s="7" t="n"/>
      <c r="U85" s="7" t="n"/>
      <c r="V85" s="7" t="n"/>
      <c r="W85" s="7" t="n"/>
      <c r="X85" s="7" t="n"/>
      <c r="Y85" s="7" t="n"/>
      <c r="Z85" s="7" t="n"/>
    </row>
    <row r="86" ht="13.5" customHeight="1" s="31">
      <c r="A86" s="126" t="inlineStr">
        <is>
          <t>Nota: para cada actividad de evaluación formativa se requiere elaborar una rúbrica que presente los criterios e indicadores de evaluación del proceso formativo del estudiante.</t>
        </is>
      </c>
      <c r="B86" s="89" t="n"/>
      <c r="C86" s="89" t="n"/>
      <c r="D86" s="89" t="n"/>
      <c r="E86" s="89" t="n"/>
      <c r="F86" s="89" t="n"/>
      <c r="G86" s="89" t="n"/>
      <c r="H86" s="89" t="n"/>
      <c r="I86" s="89" t="n"/>
      <c r="J86" s="89" t="n"/>
      <c r="K86" s="89" t="n"/>
      <c r="L86" s="89" t="n"/>
      <c r="M86" s="89" t="n"/>
      <c r="N86" s="89" t="n"/>
      <c r="O86" s="89" t="n"/>
      <c r="P86" s="89" t="n"/>
      <c r="Q86" s="89" t="n"/>
      <c r="R86" s="89" t="n"/>
      <c r="S86" s="90" t="n"/>
      <c r="T86" s="7" t="n"/>
      <c r="U86" s="7" t="n"/>
      <c r="V86" s="7" t="n"/>
      <c r="W86" s="7" t="n"/>
      <c r="X86" s="7" t="n"/>
      <c r="Y86" s="7" t="n"/>
      <c r="Z86" s="7" t="n"/>
    </row>
    <row r="87" ht="14.25" customHeight="1" s="31">
      <c r="A87" s="122" t="inlineStr">
        <is>
          <t>5. BIBLIOGRAFÍA RECOMENDADA</t>
        </is>
      </c>
      <c r="B87" s="95" t="n"/>
      <c r="C87" s="95" t="n"/>
      <c r="D87" s="95" t="n"/>
      <c r="E87" s="95" t="n"/>
      <c r="F87" s="95" t="n"/>
      <c r="G87" s="95" t="n"/>
      <c r="H87" s="95" t="n"/>
      <c r="I87" s="95" t="n"/>
      <c r="J87" s="95" t="n"/>
      <c r="K87" s="95" t="n"/>
      <c r="L87" s="95" t="n"/>
      <c r="M87" s="95" t="n"/>
      <c r="N87" s="95" t="n"/>
      <c r="O87" s="95" t="n"/>
      <c r="P87" s="95" t="n"/>
      <c r="Q87" s="95" t="n"/>
      <c r="R87" s="95" t="n"/>
      <c r="S87" s="96" t="n"/>
      <c r="T87" s="7" t="n"/>
      <c r="U87" s="7" t="n"/>
      <c r="V87" s="7" t="n"/>
      <c r="W87" s="7" t="n"/>
      <c r="X87" s="7" t="n"/>
      <c r="Y87" s="7" t="n"/>
      <c r="Z87" s="7" t="n"/>
    </row>
    <row r="88" ht="346.5" customHeight="1" s="31">
      <c r="A88" s="114" t="inlineStr">
        <is>
          <t>BIBLIOGRAFÍA – ÁREA ANDINA</t>
        </is>
      </c>
      <c r="B88" s="89" t="n"/>
      <c r="C88" s="90" t="n"/>
      <c r="D88" s="113" t="inlineStr">
        <is>
          <t>1. Contexto: Salud, Modernidad, Globalización. Historia de la Salud Pública.
• Foucault, M (1996) La vida de los hombres infames. Cap.7 Historia de la medicalización p.1-23. http://hist.library.paho.org/Spanish/EMS/4839.pdf
• Ministerio de Salud. DNP (1990)  La salud en Colombia. Análisis socio-histórico. Estudio sectorial de salud. Bogotá
• Quevedo,E&amp;Quevedo,M.C (2001) la salud pública en Colombia: Cien años atrapada entre los intereses internacionales y el desinterés Nacional. Nova et Vetera. Rosario. Revista del Colegio Mayor de Nuestra Señora del Rosario (95)588: 5-29
• • Vijay Kumar Yadavendu (2013) Shifting Paradigms in Public Health From Holism to Individualism. Springer India 2013
• Vergara Quintero, M. D. C. (2007). Tres concepciones históricas del proceso salud-enfermedad. Revista Hacia la promoción de la Salud, 12.
2. El Campo de la Salud Pública
• Caponi, S (1997) Georges Canguilhem y el estatuto epistemológico del concepto de salud. História, Ciências, Saúde Manguinhos, IV (2):287-307http://www.scielo.br/pdf/%0D/hcsm/v4n2/v4n2a05.pdf
• Frenk,J (2013) La salud de la población. Hacia una nueva salud pública. Tercera edición. Segunda reimpresión. México  [p.37-53] https://biblioceop.files.wordpress.com/2011/02/la_nueva_salud_p25fablica.pdf
• Gómez R (2002) La noción de salud pública: consecuencias de la polisemia. Revista Facultad Nacional de Salud Pública No.20 enero-junio http://www.redalyc.org/articulo.oa?id=12020109 ISSN 0120-386X
http://www.facmed.unam.mx/deptos/salud/censenanza/spi/fundamentos/navarro.pdf
• Navarro, V  Concepto actual de salud pública
3.  Contexto: Los fenómenos socioculturales, políticos y económicos Globales en  Salud. Salud Global. Salud Internacional Complejidad
• Maldonado, C (2005) ¿En qué sentido puede hablarse de diálogo de las ciencias? Acerca de las nuevas ciencias de la complejidad. Rev. Acad. Colomb. Cienc. 29 (112): 417-428
• Maldonado, C (2008) “La complejidad de la salud. Interacciones entre lo biológico y lo social”, capítulo de libro en: María Carolina Morales (Ed.), Repensando la naturaleza social de la salud en las sociedades contemporáneas. Perspectivas, retos y alternativas, Bogotá,
Universidad Nacional de Colombia, págs. 96-108
• Almeida-Filho N (2006) Complejidad y Transdisciplinariedad en el campo de  la Salud Colectiva:Evaluación de conceptos y aplicaciones. Salud Colectiva (2)2:123-46
• Fajardo,G., Fernández,M., Ortiz,A y Olivares,R (2015) La dimensión del paradigma de la complejidad en los sistemas de salud. Cirugía y Cirujanos (83)1: 81-86
• Fajardo,G (2003) La historia de la medicina bajo la lente de las ciencias de la complejidad. Ludus Vitales,vol XXI (39):165-75
Salud Global
• Abadía-Barrero, C., Cortés, G., Fino, E., García, C., Oviedo, D., &amp; Pinilla Alfonso, M. Y. (2008). Perspectivas Inter-Situadas sobre el Capitalismo en la Salud: desde Colombia y sobre Colombia. Palimpsestus, 6, 163-176.
• Bernal, Richard L., La globalización de la atención de la salud, Revista de la Cepal No. 92, Santiago de Chile, 2007, pp. 83 – 100
• Cornia GA. Globalization and health: Results and options.Bull World Health Organ. 2001; 79(9):834-41.
• Do Prado M, Schmidt K. Salud y globalización; retos futuros para el cuidado de enfermería. Invest Educ Enferm 2004; 22 (2): 104-111.
Franco A. Globalización, gobernabilidad y salud. 2005. [citado 18 febrero 2006); 14 (4).
• Frenk, J., &amp; Moon, S. (2013). Governance challenges in global health. New England Journal of Medicine, 368(10), 936-942
• Huynen MM, Martens P, Hilderink HB. The health impacts of globalization: A conceptual framework. Global Health. 2005 Aug 3;1:14
4. Corrientes en Salud Pública: Medicina Social, Salud Colectiva, Epidemiología  Social, Nueva Salud Pública. Sistemas de Salud
• Almeida-Filho,N.&amp; Silva,J. (  )   La crisis de la salud pública y el movimiento de la salud colectiva en Latinoamérica.  Cuadernos médico sociales 75: 5-30
• Breilh J. Epidemiología crítica: ciencia emancipadora e interculturalidad. Buenos Aires, Argentina: Lugar Editorial; 2003.
• García, JC (1983) Medicina y sociedad: las corrientes de pensamiento en el campo de la salud. Tomado de Educación Médica y Salud, Vol. 17; 363-397,1983
• Porter D. How did social medicine evolve, and where is it heading? PLoS Med. 2006;3:e399. doi: 10.1271/journal.pmed.0030399
• Tulchinsky, T. H., &amp; Varavikova, E. A. (2010). What is the “new public health”?. Public Health Reviews, 32(1), 25.
• Don de Savign y Taghreed,A Ed. (2009) Aplicación del pensamiento sistémico al fortalecimiento de los sistemas de salud. Organización Mundial de la Salud, 2009</t>
        </is>
      </c>
      <c r="E88" s="89" t="n"/>
      <c r="F88" s="89" t="n"/>
      <c r="G88" s="89" t="n"/>
      <c r="H88" s="89" t="n"/>
      <c r="I88" s="89" t="n"/>
      <c r="J88" s="89" t="n"/>
      <c r="K88" s="89" t="n"/>
      <c r="L88" s="89" t="n"/>
      <c r="M88" s="89" t="n"/>
      <c r="N88" s="89" t="n"/>
      <c r="O88" s="89" t="n"/>
      <c r="P88" s="89" t="n"/>
      <c r="Q88" s="89" t="n"/>
      <c r="R88" s="89" t="n"/>
      <c r="S88" s="90" t="n"/>
      <c r="T88" s="7" t="n"/>
      <c r="U88" s="7" t="n"/>
      <c r="V88" s="7" t="n"/>
      <c r="W88" s="7" t="n"/>
      <c r="X88" s="7" t="n"/>
      <c r="Y88" s="7" t="n"/>
      <c r="Z88" s="7" t="n"/>
    </row>
    <row r="89" ht="60" customHeight="1" s="31">
      <c r="A89" s="114" t="inlineStr">
        <is>
          <t>BIBLIOGRAFÍA - AREANDINA 
SEGUNDO IDIOMA</t>
        </is>
      </c>
      <c r="B89" s="89" t="n"/>
      <c r="C89" s="90" t="n"/>
      <c r="D89" s="113" t="inlineStr">
        <is>
          <t>Tulchinsky,T&amp; Varavikova,E (2014) The New Public Health. Academic Press 3rd Edition Chapter 1 A history of public health
• WHO (2018) Essential public health functions, health systems and health security: developing conceptual clarity and a WHO roadmap for action ISBN 978-92-4-151408-8. https://extranet.who.int/sph/docs/file/2091</t>
        </is>
      </c>
      <c r="E89" s="89" t="n"/>
      <c r="F89" s="89" t="n"/>
      <c r="G89" s="89" t="n"/>
      <c r="H89" s="89" t="n"/>
      <c r="I89" s="89" t="n"/>
      <c r="J89" s="89" t="n"/>
      <c r="K89" s="89" t="n"/>
      <c r="L89" s="89" t="n"/>
      <c r="M89" s="89" t="n"/>
      <c r="N89" s="89" t="n"/>
      <c r="O89" s="89" t="n"/>
      <c r="P89" s="89" t="n"/>
      <c r="Q89" s="89" t="n"/>
      <c r="R89" s="89" t="n"/>
      <c r="S89" s="90" t="n"/>
      <c r="T89" s="7" t="n"/>
      <c r="U89" s="7" t="n"/>
      <c r="V89" s="7" t="n"/>
      <c r="W89" s="7" t="n"/>
      <c r="X89" s="7" t="n"/>
      <c r="Y89" s="7" t="n"/>
      <c r="Z89" s="7" t="n"/>
    </row>
    <row r="90" ht="307" customHeight="1" s="31">
      <c r="A90" s="114" t="inlineStr">
        <is>
          <t>BIBLIOGRAFÍA COMPLEMENTARIA</t>
        </is>
      </c>
      <c r="B90" s="89" t="n"/>
      <c r="C90" s="90" t="n"/>
      <c r="D90" s="113" t="inlineStr">
        <is>
          <r>
            <rPr>
              <rFont val="Verdana"/>
              <b val="1"/>
              <color rgb="00FFFF00"/>
              <sz val="8"/>
              <u val="single"/>
            </rPr>
            <t>ACTUALIZACIÓN 2026 — Lecturas incorporadas:</t>
          </r>
          <r>
            <t>
</t>
          </r>
          <r>
            <rPr>
              <rFont val="Verdana"/>
              <b val="1"/>
              <color rgb="00FFFF00"/>
              <sz val="8"/>
              <u val="single"/>
            </rPr>
            <t>• Panteli, D., Adib, K., Buttigieg, S., Goiana-da-Silva, F., Ladewig, K., Azzopardi-Muscat, N., Figueras, J., Novillo-Ortiz, D., &amp; McKee, M. (2025). Artificial intelligence in public health: promises, challenges, and an agenda for policy makers and public health institutions. The Lancet Public Health, 10(5), e428-e432. https://doi.org/10.1016/S2468-2667(25)00036-2</t>
          </r>
          <r>
            <t>
</t>
          </r>
          <r>
            <rPr>
              <rFont val="Verdana"/>
              <b val="1"/>
              <color rgb="00FFFF00"/>
              <sz val="8"/>
              <u val="single"/>
            </rPr>
            <t>• Feo Istúriz, Ó., et al. (2024). Transitando del mito de la atención primaria en salud (APS) al cuidado integral e intercultural de la salud y el vivir bien. Gerencia y Políticas de Salud, 23. https://doi.org/10.11144/Javeriana.rgsp23.dtps</t>
          </r>
          <r>
            <t>
</t>
          </r>
          <r>
            <t xml:space="preserve">
•Restrepo O, Diego A. (2011). La salud pública como ciencia social: reflexiones en torno a las posibilidades de una salud pública comprensiva. Revista Facultad Nacional de Salud Pública, 29(1), 94-102. Retrieved July 31, 2024, from http://www.scielo.org.co/scielo.php?script=sci_arttext&amp;pid=S0120-386X2011000100011&amp;lng=en&amp;tlng=es.
-Rodríguez Acosta, Sandra. (2016). La desigualdad de ingreso y salud en Colombia. Perfiles latinoamericanos, 24(48), 265-296. https://doi.org/10.18504/pl2448-011-2016
-Alfaro-Alfaro N. Los determinantes sociales de la salud y las funciones esenciales de la salud pública social. Sal Jal. 2014;1(1):36-46.
-Breilh, Jaime. (2013). La determinación social de la salud como herramienta de transformación hacia una nueva salud pública (salud colectiva)La determinación social de la salud como herramienta de transformación hacia una nueva salud pública (salud colectiva). Revista Facultad Nacional de Salud Pública, 31(Suppl. 1), 13-27. Retrieved July 31, 2024, from http://www.scielo.org.co/scielo.php?script=sci_arttext&amp;pid=S0120-386X2013000400002&amp;lng=en&amp;tlng=es.
-Casallas-Murillo, Ana Lucía. (2017). La medicina social-salud colectiva latinoamericanas: una visión integradora frente a la salud pública tradicional. Revista Ciencias de la Salud, 15(3), 397-408. https://doi.org/10.12804/revistas.urosario.edu.co/revsalud/a.6123
-Figueras, J, Musgrove, P, Carrin, G, &amp; Durán, A. (2002). Retos para los sistemas sanitarios de Latinoamérica: ¿qué puede aprenderse de la experiencia europea?. Gaceta Sanitaria, 16(1), 5-17. Recuperado en 31 de julio de 2024, de http://scielo.isciii.es/scielo.php?script=sci_arttext&amp;pid=S0213-91112002000100003&amp;lng=es&amp;tlng=es.
-González-Quintero, Víctor &amp; Ospina Galeano, Dorian &amp; Otálvaro Castro, Gabriel &amp; Jimenez, Diana &amp; Cotes-Cantillo, Karol &amp; Castañeda-Orjuela, Carlos. (2023). Desigualdades de clase social en la mortalidad general y evitable en Colombia. 10.13140/RG.2.2.33872.69125. 
-OMS, Funciones esenciales de la salud pública.
-Rojas Ochoa, F. (2019). Debate teórico sobre salud pública y salud internacional. Revista Cubana de Salud Pública, 45(1). Recuperado de https://revsaludpublica.sld.cu/index.php/spu/article/view/1521
- Laurell, (1982) la salud-enfermedad como proceso social. Cuadernos Médico Sociales, Nº 19.
-Melo, J.O (2017) Historia Mínima de Colombia. El Colegio de México. México
• Joumard, I. and J. Londoño Vélez (2013), “Income Inequality and Poverty in Colombia - Part 1. The Role of the Labour Market”, OECD Economics Department Working Papers, No. 1036, OECD Publishing, Paris. http://dx.doi.org/10.1787/5k487n74s1f1-en
• Franco, A (2006) Tendencias y teorías en salud pública Rev Fac Nac Salud Pública (24)2: 119-130
• Hernández, C et al (2012) Modelos conceptuales y paradigmas en salud pública. Rev. salud pública. 14 (2): 315-324
http://www.revistas.unal.edu.co/index.php/revsaludpublica/article/view/25789/36338
• Navarro, V (2009) What we mean by Social determinants of health. International Journal of Health Services. 39 (3): 423–441 http://baywood.co
• Erazo, A (2015) Un enfoque sistémico para comprender y mejorar los sistemas de salud. Rev. Panam Salud Pública 38 (3): 248-53
• Hawkins,B&amp;Alvarez,A (2008) The role of the state in public health policy.  International Enciclopedia of Public Health p.211-218
• Guerrero,R et al (2011) Sistema de salud de Colombia. Salud Pública de México  (53) supl.2: S144-S155
• Corachan M, Gascon J. El viajero global. Barcelona: Planeta SA; 2002.
• Kleinman, Arthur 1988 The illness narratives: Suffering, healing, and the human condition, New York, Basic Books.
• Lombardi, D. (2011). Neo-chamanismo: el ritual transferido.
• Menéndez, E. (2014). La enfermedad y la curación ¿Qué es medicina tradicional? Alteridades, (7), 71-83.
• S. Feierman, A. Kleinman, K. Stewart, P. Farmer &amp; V. Das (2010) Anthropology, knowledge-flows and global health, Global Public Health, 5:2, 122-128, DOI: 10.1080/17441690903401338
• Ackerknecht, E. H. (1985). Medicina y antropología social (Vol. 70). Ediciones Akal.
• Alonso, J. (2012). Saberes culturales y salud. Desacatos, (39), 7-14
• Becerra, A. C. (2008). La modernidad, el cuidado de la salud y la cultura ancestral. Colombia Médica, 39(3), 209. </t>
          </r>
        </is>
      </c>
      <c r="E90" s="89" t="n"/>
      <c r="F90" s="89" t="n"/>
      <c r="G90" s="89" t="n"/>
      <c r="H90" s="89" t="n"/>
      <c r="I90" s="89" t="n"/>
      <c r="J90" s="89" t="n"/>
      <c r="K90" s="89" t="n"/>
      <c r="L90" s="89" t="n"/>
      <c r="M90" s="89" t="n"/>
      <c r="N90" s="89" t="n"/>
      <c r="O90" s="89" t="n"/>
      <c r="P90" s="89" t="n"/>
      <c r="Q90" s="89" t="n"/>
      <c r="R90" s="89" t="n"/>
      <c r="S90" s="90" t="n"/>
      <c r="T90" s="7" t="n"/>
      <c r="U90" s="7" t="n"/>
      <c r="V90" s="7" t="n"/>
      <c r="W90" s="7" t="n"/>
      <c r="X90" s="7" t="n"/>
      <c r="Y90" s="7" t="n"/>
      <c r="Z90" s="7" t="n"/>
    </row>
    <row r="91" ht="14.25" customHeight="1" s="31">
      <c r="A91" s="122" t="inlineStr">
        <is>
          <t>6. APROBACIÓN DEL MICROCURRÍCULO</t>
        </is>
      </c>
      <c r="B91" s="95" t="n"/>
      <c r="C91" s="95" t="n"/>
      <c r="D91" s="95" t="n"/>
      <c r="E91" s="95" t="n"/>
      <c r="F91" s="95" t="n"/>
      <c r="G91" s="95" t="n"/>
      <c r="H91" s="95" t="n"/>
      <c r="I91" s="95" t="n"/>
      <c r="J91" s="95" t="n"/>
      <c r="K91" s="95" t="n"/>
      <c r="L91" s="95" t="n"/>
      <c r="M91" s="95" t="n"/>
      <c r="N91" s="95" t="n"/>
      <c r="O91" s="95" t="n"/>
      <c r="P91" s="95" t="n"/>
      <c r="Q91" s="95" t="n"/>
      <c r="R91" s="95" t="n"/>
      <c r="S91" s="96" t="n"/>
      <c r="T91" s="7" t="n"/>
      <c r="U91" s="7" t="n"/>
      <c r="V91" s="7" t="n"/>
      <c r="W91" s="7" t="n"/>
      <c r="X91" s="7" t="n"/>
      <c r="Y91" s="7" t="n"/>
      <c r="Z91" s="7" t="n"/>
    </row>
    <row r="92" ht="49.5" customHeight="1" s="31">
      <c r="A92" s="114" t="inlineStr">
        <is>
          <t>CONTROL DE CAMBIOS</t>
        </is>
      </c>
      <c r="B92" s="89" t="n"/>
      <c r="C92" s="90" t="n"/>
      <c r="D92" s="99" t="n"/>
      <c r="E92" s="89" t="n"/>
      <c r="F92" s="89" t="n"/>
      <c r="G92" s="89" t="n"/>
      <c r="H92" s="89" t="n"/>
      <c r="I92" s="89" t="n"/>
      <c r="J92" s="89" t="n"/>
      <c r="K92" s="89" t="n"/>
      <c r="L92" s="89" t="n"/>
      <c r="M92" s="89" t="n"/>
      <c r="N92" s="89" t="n"/>
      <c r="O92" s="89" t="n"/>
      <c r="P92" s="89" t="n"/>
      <c r="Q92" s="89" t="n"/>
      <c r="R92" s="89" t="n"/>
      <c r="S92" s="90" t="n"/>
      <c r="T92" s="7" t="n"/>
      <c r="U92" s="7" t="n"/>
      <c r="V92" s="7" t="n"/>
      <c r="W92" s="7" t="n"/>
      <c r="X92" s="7" t="n"/>
      <c r="Y92" s="7" t="n"/>
      <c r="Z92" s="7" t="n"/>
    </row>
    <row r="93" ht="13.5" customHeight="1" s="31">
      <c r="A93" s="105" t="inlineStr">
        <is>
          <t>APROBACIONES</t>
        </is>
      </c>
      <c r="B93" s="89" t="n"/>
      <c r="C93" s="89" t="n"/>
      <c r="D93" s="89" t="n"/>
      <c r="E93" s="89" t="n"/>
      <c r="F93" s="89" t="n"/>
      <c r="G93" s="89" t="n"/>
      <c r="H93" s="89" t="n"/>
      <c r="I93" s="89" t="n"/>
      <c r="J93" s="89" t="n"/>
      <c r="K93" s="89" t="n"/>
      <c r="L93" s="89" t="n"/>
      <c r="M93" s="89" t="n"/>
      <c r="N93" s="89" t="n"/>
      <c r="O93" s="89" t="n"/>
      <c r="P93" s="89" t="n"/>
      <c r="Q93" s="89" t="n"/>
      <c r="R93" s="89" t="n"/>
      <c r="S93" s="90" t="n"/>
      <c r="T93" s="7" t="n"/>
      <c r="U93" s="7" t="n"/>
      <c r="V93" s="7" t="n"/>
      <c r="W93" s="7" t="n"/>
      <c r="X93" s="7" t="n"/>
      <c r="Y93" s="7" t="n"/>
      <c r="Z93" s="7" t="n"/>
    </row>
    <row r="94" ht="14.25" customHeight="1" s="31">
      <c r="A94" s="80" t="inlineStr">
        <is>
          <t>INTEGRANTES DEL COMITÉ CURRICULAR DEL PROGRAMA</t>
        </is>
      </c>
      <c r="B94" s="87" t="n"/>
      <c r="C94" s="87" t="n"/>
      <c r="D94" s="110" t="inlineStr">
        <is>
          <t>Nombre</t>
        </is>
      </c>
      <c r="E94" s="89" t="n"/>
      <c r="F94" s="89" t="n"/>
      <c r="G94" s="90" t="n"/>
      <c r="H94" s="110" t="inlineStr">
        <is>
          <t>Firma</t>
        </is>
      </c>
      <c r="I94" s="89" t="n"/>
      <c r="J94" s="90" t="n"/>
      <c r="K94" s="110" t="inlineStr">
        <is>
          <t>Nombre</t>
        </is>
      </c>
      <c r="L94" s="89" t="n"/>
      <c r="M94" s="89" t="n"/>
      <c r="N94" s="90" t="n"/>
      <c r="O94" s="110" t="inlineStr">
        <is>
          <t>Firma</t>
        </is>
      </c>
      <c r="P94" s="89" t="n"/>
      <c r="Q94" s="89" t="n"/>
      <c r="R94" s="89" t="n"/>
      <c r="S94" s="90" t="n"/>
      <c r="T94" s="7" t="n"/>
      <c r="U94" s="7" t="n"/>
      <c r="V94" s="7" t="n"/>
      <c r="W94" s="7" t="n"/>
      <c r="X94" s="7" t="n"/>
      <c r="Y94" s="7" t="n"/>
      <c r="Z94" s="7" t="n"/>
    </row>
    <row r="95" ht="30" customHeight="1" s="31">
      <c r="A95" s="92" t="n"/>
      <c r="D95" s="8" t="n"/>
      <c r="E95" s="89" t="n"/>
      <c r="F95" s="89" t="n"/>
      <c r="G95" s="90" t="n"/>
      <c r="H95" s="8" t="n"/>
      <c r="I95" s="89" t="n"/>
      <c r="J95" s="90" t="n"/>
      <c r="K95" s="8" t="n"/>
      <c r="L95" s="89" t="n"/>
      <c r="M95" s="89" t="n"/>
      <c r="N95" s="90" t="n"/>
      <c r="O95" s="8" t="n"/>
      <c r="P95" s="89" t="n"/>
      <c r="Q95" s="89" t="n"/>
      <c r="R95" s="89" t="n"/>
      <c r="S95" s="90" t="n"/>
      <c r="T95" s="7" t="n"/>
      <c r="U95" s="7" t="n"/>
      <c r="V95" s="7" t="n"/>
      <c r="W95" s="7" t="n"/>
      <c r="X95" s="7" t="n"/>
      <c r="Y95" s="7" t="n"/>
      <c r="Z95" s="7" t="n"/>
    </row>
    <row r="96" ht="30" customHeight="1" s="31">
      <c r="A96" s="92" t="n"/>
      <c r="D96" s="8" t="n"/>
      <c r="E96" s="89" t="n"/>
      <c r="F96" s="89" t="n"/>
      <c r="G96" s="90" t="n"/>
      <c r="H96" s="8" t="n"/>
      <c r="I96" s="89" t="n"/>
      <c r="J96" s="90" t="n"/>
      <c r="K96" s="8" t="n"/>
      <c r="L96" s="89" t="n"/>
      <c r="M96" s="89" t="n"/>
      <c r="N96" s="90" t="n"/>
      <c r="O96" s="8" t="n"/>
      <c r="P96" s="89" t="n"/>
      <c r="Q96" s="89" t="n"/>
      <c r="R96" s="89" t="n"/>
      <c r="S96" s="90" t="n"/>
      <c r="T96" s="7" t="n"/>
      <c r="U96" s="7" t="n"/>
      <c r="V96" s="7" t="n"/>
      <c r="W96" s="7" t="n"/>
      <c r="X96" s="7" t="n"/>
      <c r="Y96" s="7" t="n"/>
      <c r="Z96" s="7" t="n"/>
    </row>
    <row r="97" ht="30" customHeight="1" s="31">
      <c r="A97" s="92" t="n"/>
      <c r="D97" s="8" t="n"/>
      <c r="E97" s="89" t="n"/>
      <c r="F97" s="89" t="n"/>
      <c r="G97" s="90" t="n"/>
      <c r="H97" s="8" t="n"/>
      <c r="I97" s="89" t="n"/>
      <c r="J97" s="90" t="n"/>
      <c r="K97" s="8" t="n"/>
      <c r="L97" s="89" t="n"/>
      <c r="M97" s="89" t="n"/>
      <c r="N97" s="90" t="n"/>
      <c r="O97" s="8" t="n"/>
      <c r="P97" s="89" t="n"/>
      <c r="Q97" s="89" t="n"/>
      <c r="R97" s="89" t="n"/>
      <c r="S97" s="90" t="n"/>
      <c r="T97" s="7" t="n"/>
      <c r="U97" s="7" t="n"/>
      <c r="V97" s="7" t="n"/>
      <c r="W97" s="7" t="n"/>
      <c r="X97" s="7" t="n"/>
      <c r="Y97" s="7" t="n"/>
      <c r="Z97" s="7" t="n"/>
    </row>
    <row r="98" ht="30" customHeight="1" s="31">
      <c r="A98" s="94" t="n"/>
      <c r="B98" s="95" t="n"/>
      <c r="C98" s="95" t="n"/>
      <c r="D98" s="8" t="n"/>
      <c r="E98" s="89" t="n"/>
      <c r="F98" s="89" t="n"/>
      <c r="G98" s="90" t="n"/>
      <c r="H98" s="8" t="n"/>
      <c r="I98" s="89" t="n"/>
      <c r="J98" s="90" t="n"/>
      <c r="K98" s="8" t="n"/>
      <c r="L98" s="89" t="n"/>
      <c r="M98" s="89" t="n"/>
      <c r="N98" s="90" t="n"/>
      <c r="O98" s="8" t="n"/>
      <c r="P98" s="89" t="n"/>
      <c r="Q98" s="89" t="n"/>
      <c r="R98" s="89" t="n"/>
      <c r="S98" s="90" t="n"/>
      <c r="T98" s="7" t="n"/>
      <c r="U98" s="7" t="n"/>
      <c r="V98" s="7" t="n"/>
      <c r="W98" s="7" t="n"/>
      <c r="X98" s="7" t="n"/>
      <c r="Y98" s="7" t="n"/>
      <c r="Z98" s="7" t="n"/>
    </row>
    <row r="99" ht="13.5" customHeight="1" s="31">
      <c r="A99" s="18" t="n"/>
      <c r="B99" s="18"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3.5" customHeight="1" s="31">
      <c r="A100" s="18" t="n"/>
      <c r="B100" s="18"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3.5" customHeight="1" s="31">
      <c r="A101" s="18" t="n"/>
      <c r="B101" s="18"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3.5" customHeight="1" s="31">
      <c r="A102" s="18" t="n"/>
      <c r="B102" s="18"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3.5" customHeight="1" s="31">
      <c r="A103" s="18" t="n"/>
      <c r="B103" s="18"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3.5" customHeight="1" s="31">
      <c r="A104" s="18" t="n"/>
      <c r="B104" s="18"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3.5" customHeight="1" s="31">
      <c r="A105" s="18" t="n"/>
      <c r="B105" s="18"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3.5" customHeight="1" s="31">
      <c r="A106" s="18" t="n"/>
      <c r="B106" s="18"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3.5" customHeight="1" s="31">
      <c r="A107" s="18" t="n"/>
      <c r="B107" s="18"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3.5" customHeight="1" s="31">
      <c r="A108" s="18" t="n"/>
      <c r="B108" s="18"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3.5" customHeight="1" s="31">
      <c r="A109" s="18" t="n"/>
      <c r="B109" s="18"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3.5" customHeight="1" s="31">
      <c r="A110" s="18" t="n"/>
      <c r="B110" s="18"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3.5" customHeight="1" s="31">
      <c r="A111" s="18" t="n"/>
      <c r="B111" s="18"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3.5" customHeight="1" s="31">
      <c r="A112" s="18" t="n"/>
      <c r="B112" s="18"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3.5" customHeight="1" s="31">
      <c r="A113" s="18" t="n"/>
      <c r="B113" s="18"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3.5" customHeight="1" s="31">
      <c r="A114" s="18" t="n"/>
      <c r="B114" s="18"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3.5" customHeight="1" s="31">
      <c r="A115" s="18" t="n"/>
      <c r="B115" s="18"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3.5" customHeight="1" s="31">
      <c r="A116" s="18" t="n"/>
      <c r="B116" s="18"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3.5" customHeight="1" s="31">
      <c r="A117" s="18" t="n"/>
      <c r="B117" s="18"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3.5" customHeight="1" s="31">
      <c r="A118" s="18" t="n"/>
      <c r="B118" s="18"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3.5" customHeight="1" s="31">
      <c r="A119" s="18" t="n"/>
      <c r="B119" s="18"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3.5" customHeight="1" s="31">
      <c r="A120" s="18" t="n"/>
      <c r="B120" s="18"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3.5" customHeight="1" s="31">
      <c r="A121" s="18" t="n"/>
      <c r="B121" s="18"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3.5" customHeight="1" s="31">
      <c r="A122" s="18" t="n"/>
      <c r="B122" s="18"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3.5" customHeight="1" s="31">
      <c r="A123" s="18" t="n"/>
      <c r="B123" s="18"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3.5" customHeight="1" s="31">
      <c r="A124" s="18" t="n"/>
      <c r="B124" s="18"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3.5" customHeight="1" s="31">
      <c r="A125" s="18" t="n"/>
      <c r="B125" s="18"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3.5" customHeight="1" s="31">
      <c r="A126" s="18" t="n"/>
      <c r="B126" s="18"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3.5" customHeight="1" s="31">
      <c r="A127" s="18" t="n"/>
      <c r="B127" s="18"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3.5" customHeight="1" s="31">
      <c r="A128" s="18" t="n"/>
      <c r="B128" s="18"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3.5" customHeight="1" s="31">
      <c r="A129" s="18" t="n"/>
      <c r="B129" s="18"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3.5" customHeight="1" s="31">
      <c r="A130" s="18" t="n"/>
      <c r="B130" s="18"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3.5" customHeight="1" s="31">
      <c r="A131" s="18" t="n"/>
      <c r="B131" s="18"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3.5" customHeight="1" s="31">
      <c r="A132" s="18" t="n"/>
      <c r="B132" s="18"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3.5" customHeight="1" s="31">
      <c r="A133" s="18" t="n"/>
      <c r="B133" s="18"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3.5" customHeight="1" s="31">
      <c r="A134" s="18" t="n"/>
      <c r="B134" s="18"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3.5" customHeight="1" s="31">
      <c r="A135" s="18" t="n"/>
      <c r="B135" s="18"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3.5" customHeight="1" s="31">
      <c r="A136" s="18" t="n"/>
      <c r="B136" s="18"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3.5" customHeight="1" s="31">
      <c r="A137" s="18" t="n"/>
      <c r="B137" s="18"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3.5" customHeight="1" s="31">
      <c r="A138" s="18" t="n"/>
      <c r="B138" s="18"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3.5" customHeight="1" s="31">
      <c r="A139" s="18" t="n"/>
      <c r="B139" s="18"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3.5" customHeight="1" s="31">
      <c r="A140" s="18" t="n"/>
      <c r="B140" s="18"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3.5" customHeight="1" s="31">
      <c r="A141" s="18" t="n"/>
      <c r="B141" s="18"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3.5" customHeight="1" s="31">
      <c r="A142" s="18" t="n"/>
      <c r="B142" s="18"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3.5" customHeight="1" s="31">
      <c r="A143" s="18" t="n"/>
      <c r="B143" s="18"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3.5" customHeight="1" s="31">
      <c r="A144" s="18" t="n"/>
      <c r="B144" s="18"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3.5" customHeight="1" s="31">
      <c r="A145" s="18" t="n"/>
      <c r="B145" s="18"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3.5" customHeight="1" s="31">
      <c r="A146" s="18" t="n"/>
      <c r="B146" s="18"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3.5" customHeight="1" s="31">
      <c r="A147" s="18" t="n"/>
      <c r="B147" s="18"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3.5" customHeight="1" s="31">
      <c r="A148" s="18" t="n"/>
      <c r="B148" s="18"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3.5" customHeight="1" s="31">
      <c r="A149" s="18" t="n"/>
      <c r="B149" s="18"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3.5" customHeight="1" s="31">
      <c r="A150" s="18" t="n"/>
      <c r="B150" s="18"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3.5" customHeight="1" s="31">
      <c r="A151" s="18" t="n"/>
      <c r="B151" s="18"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3.5" customHeight="1" s="31">
      <c r="A152" s="18" t="n"/>
      <c r="B152" s="18"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3.5" customHeight="1" s="31">
      <c r="A153" s="18" t="n"/>
      <c r="B153" s="18"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3.5" customHeight="1" s="31">
      <c r="A154" s="18" t="n"/>
      <c r="B154" s="18"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3.5" customHeight="1" s="31">
      <c r="A155" s="18" t="n"/>
      <c r="B155" s="18"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3.5" customHeight="1" s="31">
      <c r="A156" s="18" t="n"/>
      <c r="B156" s="18"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3.5" customHeight="1" s="31">
      <c r="A157" s="18" t="n"/>
      <c r="B157" s="18"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3.5" customHeight="1" s="31">
      <c r="A158" s="18" t="n"/>
      <c r="B158" s="18"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3.5" customHeight="1" s="31">
      <c r="A159" s="18" t="n"/>
      <c r="B159" s="18"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3.5" customHeight="1" s="31">
      <c r="A160" s="18" t="n"/>
      <c r="B160" s="18"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3.5" customHeight="1" s="31">
      <c r="A161" s="18" t="n"/>
      <c r="B161" s="18"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3.5" customHeight="1" s="31">
      <c r="A162" s="18" t="n"/>
      <c r="B162" s="18"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3.5" customHeight="1" s="31">
      <c r="A163" s="18" t="n"/>
      <c r="B163" s="18"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3.5" customHeight="1" s="31">
      <c r="A164" s="18" t="n"/>
      <c r="B164" s="18"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3.5" customHeight="1" s="31">
      <c r="A165" s="18" t="n"/>
      <c r="B165" s="18"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3.5" customHeight="1" s="31">
      <c r="A166" s="18" t="n"/>
      <c r="B166" s="18"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3.5" customHeight="1" s="31">
      <c r="A167" s="18" t="n"/>
      <c r="B167" s="18"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3.5" customHeight="1" s="31">
      <c r="A168" s="18" t="n"/>
      <c r="B168" s="18"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3.5" customHeight="1" s="31">
      <c r="A169" s="18" t="n"/>
      <c r="B169" s="18"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3.5" customHeight="1" s="31">
      <c r="A170" s="18" t="n"/>
      <c r="B170" s="18"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3.5" customHeight="1" s="31">
      <c r="A171" s="18" t="n"/>
      <c r="B171" s="18"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3.5" customHeight="1" s="31">
      <c r="A172" s="18" t="n"/>
      <c r="B172" s="18"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3.5" customHeight="1" s="31">
      <c r="A173" s="18" t="n"/>
      <c r="B173" s="18"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3.5" customHeight="1" s="31">
      <c r="A174" s="18" t="n"/>
      <c r="B174" s="18"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3.5" customHeight="1" s="31">
      <c r="A175" s="18" t="n"/>
      <c r="B175" s="18"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3.5" customHeight="1" s="31">
      <c r="A176" s="18" t="n"/>
      <c r="B176" s="18"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3.5" customHeight="1" s="31">
      <c r="A177" s="18" t="n"/>
      <c r="B177" s="18"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3.5" customHeight="1" s="31">
      <c r="A178" s="18" t="n"/>
      <c r="B178" s="18"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3.5" customHeight="1" s="31">
      <c r="A179" s="18" t="n"/>
      <c r="B179" s="18"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3.5" customHeight="1" s="31">
      <c r="A180" s="18" t="n"/>
      <c r="B180" s="18"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3.5" customHeight="1" s="31">
      <c r="A181" s="18" t="n"/>
      <c r="B181" s="18"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3.5" customHeight="1" s="31">
      <c r="A182" s="18" t="n"/>
      <c r="B182" s="18"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3.5" customHeight="1" s="31">
      <c r="A183" s="18" t="n"/>
      <c r="B183" s="18"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3.5" customHeight="1" s="31">
      <c r="A184" s="18" t="n"/>
      <c r="B184" s="18"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3.5" customHeight="1" s="31">
      <c r="A185" s="18" t="n"/>
      <c r="B185" s="18"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3.5" customHeight="1" s="31">
      <c r="A186" s="18" t="n"/>
      <c r="B186" s="18"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3.5" customHeight="1" s="31">
      <c r="A187" s="18" t="n"/>
      <c r="B187" s="18"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3.5" customHeight="1" s="31">
      <c r="A188" s="18" t="n"/>
      <c r="B188" s="18"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3.5" customHeight="1" s="31">
      <c r="A189" s="18" t="n"/>
      <c r="B189" s="18"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3.5" customHeight="1" s="31">
      <c r="A190" s="18" t="n"/>
      <c r="B190" s="18"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3.5" customHeight="1" s="31">
      <c r="A191" s="18" t="n"/>
      <c r="B191" s="18"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3.5" customHeight="1" s="31">
      <c r="A192" s="18" t="n"/>
      <c r="B192" s="18"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3.5" customHeight="1" s="31">
      <c r="A193" s="18" t="n"/>
      <c r="B193" s="18"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3.5" customHeight="1" s="31">
      <c r="A194" s="18" t="n"/>
      <c r="B194" s="18"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3.5" customHeight="1" s="31">
      <c r="A195" s="18" t="n"/>
      <c r="B195" s="18"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3.5" customHeight="1" s="31">
      <c r="A196" s="18" t="n"/>
      <c r="B196" s="18"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3.5" customHeight="1" s="31">
      <c r="A197" s="18" t="n"/>
      <c r="B197" s="18"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3.5" customHeight="1" s="31">
      <c r="A198" s="18" t="n"/>
      <c r="B198" s="18"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3.5" customHeight="1" s="31">
      <c r="A199" s="18" t="n"/>
      <c r="B199" s="18"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3.5" customHeight="1" s="31">
      <c r="A200" s="18" t="n"/>
      <c r="B200" s="18"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3.5" customHeight="1" s="31">
      <c r="A201" s="18" t="n"/>
      <c r="B201" s="18"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3.5" customHeight="1" s="31">
      <c r="A202" s="18" t="n"/>
      <c r="B202" s="18"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3.5" customHeight="1" s="31">
      <c r="A203" s="18" t="n"/>
      <c r="B203" s="18"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3.5" customHeight="1" s="31">
      <c r="A204" s="18" t="n"/>
      <c r="B204" s="18"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3.5" customHeight="1" s="31">
      <c r="A205" s="18" t="n"/>
      <c r="B205" s="18"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3.5" customHeight="1" s="31">
      <c r="A206" s="18" t="n"/>
      <c r="B206" s="18"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3.5" customHeight="1" s="31">
      <c r="A207" s="18" t="n"/>
      <c r="B207" s="18"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3.5" customHeight="1" s="31">
      <c r="A208" s="18" t="n"/>
      <c r="B208" s="18"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3.5" customHeight="1" s="31">
      <c r="A209" s="18" t="n"/>
      <c r="B209" s="18"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3.5" customHeight="1" s="31">
      <c r="A210" s="18" t="n"/>
      <c r="B210" s="18"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3.5" customHeight="1" s="31">
      <c r="A211" s="18" t="n"/>
      <c r="B211" s="18"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3.5" customHeight="1" s="31">
      <c r="A212" s="18" t="n"/>
      <c r="B212" s="18"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3.5" customHeight="1" s="31">
      <c r="A213" s="18" t="n"/>
      <c r="B213" s="18"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3.5" customHeight="1" s="31">
      <c r="A214" s="18" t="n"/>
      <c r="B214" s="18"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3.5" customHeight="1" s="31">
      <c r="A215" s="18" t="n"/>
      <c r="B215" s="18"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3.5" customHeight="1" s="31">
      <c r="A216" s="18" t="n"/>
      <c r="B216" s="18"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3.5" customHeight="1" s="31">
      <c r="A217" s="18" t="n"/>
      <c r="B217" s="18"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3.5" customHeight="1" s="31">
      <c r="A218" s="18" t="n"/>
      <c r="B218" s="18"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3.5" customHeight="1" s="31">
      <c r="A219" s="18" t="n"/>
      <c r="B219" s="18"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3.5" customHeight="1" s="31">
      <c r="A220" s="18" t="n"/>
      <c r="B220" s="18"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3.5" customHeight="1" s="31">
      <c r="A221" s="18" t="n"/>
      <c r="B221" s="18"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3.5" customHeight="1" s="31">
      <c r="A222" s="18" t="n"/>
      <c r="B222" s="18"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3.5" customHeight="1" s="31">
      <c r="A223" s="18" t="n"/>
      <c r="B223" s="18"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3.5" customHeight="1" s="31">
      <c r="A224" s="18" t="n"/>
      <c r="B224" s="18"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3.5" customHeight="1" s="31">
      <c r="A225" s="18" t="n"/>
      <c r="B225" s="18"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3.5" customHeight="1" s="31">
      <c r="A226" s="18" t="n"/>
      <c r="B226" s="18"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3.5" customHeight="1" s="31">
      <c r="A227" s="18" t="n"/>
      <c r="B227" s="18"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3.5" customHeight="1" s="31">
      <c r="A228" s="18" t="n"/>
      <c r="B228" s="18"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3.5" customHeight="1" s="31">
      <c r="A229" s="18" t="n"/>
      <c r="B229" s="18"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3.5" customHeight="1" s="31">
      <c r="A230" s="18" t="n"/>
      <c r="B230" s="18"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3.5" customHeight="1" s="31">
      <c r="A231" s="18" t="n"/>
      <c r="B231" s="18"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3.5" customHeight="1" s="31">
      <c r="A232" s="18" t="n"/>
      <c r="B232" s="18"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3.5" customHeight="1" s="31">
      <c r="A233" s="18" t="n"/>
      <c r="B233" s="18"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3.5" customHeight="1" s="31">
      <c r="A234" s="18" t="n"/>
      <c r="B234" s="18"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3.5" customHeight="1" s="31">
      <c r="A235" s="18" t="n"/>
      <c r="B235" s="18"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3.5" customHeight="1" s="31">
      <c r="A236" s="18" t="n"/>
      <c r="B236" s="18"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3.5" customHeight="1" s="31">
      <c r="A237" s="18" t="n"/>
      <c r="B237" s="18"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3.5" customHeight="1" s="31">
      <c r="A238" s="18" t="n"/>
      <c r="B238" s="18"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3.5" customHeight="1" s="31">
      <c r="A239" s="18" t="n"/>
      <c r="B239" s="18"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3.5" customHeight="1" s="31">
      <c r="A240" s="18" t="n"/>
      <c r="B240" s="18"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3.5" customHeight="1" s="31">
      <c r="A241" s="18" t="n"/>
      <c r="B241" s="18"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3.5" customHeight="1" s="31">
      <c r="A242" s="18" t="n"/>
      <c r="B242" s="18"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3.5" customHeight="1" s="31">
      <c r="A243" s="18" t="n"/>
      <c r="B243" s="18"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3.5" customHeight="1" s="31">
      <c r="A244" s="18" t="n"/>
      <c r="B244" s="18"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3.5" customHeight="1" s="31">
      <c r="A245" s="18" t="n"/>
      <c r="B245" s="18"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3.5" customHeight="1" s="31">
      <c r="A246" s="18" t="n"/>
      <c r="B246" s="18"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3.5" customHeight="1" s="31">
      <c r="A247" s="18" t="n"/>
      <c r="B247" s="18"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3.5" customHeight="1" s="31">
      <c r="A248" s="18" t="n"/>
      <c r="B248" s="18"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3.5" customHeight="1" s="31">
      <c r="A249" s="18" t="n"/>
      <c r="B249" s="18"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3.5" customHeight="1" s="31">
      <c r="A250" s="18" t="n"/>
      <c r="B250" s="18"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3.5" customHeight="1" s="31">
      <c r="A251" s="18" t="n"/>
      <c r="B251" s="18"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3.5" customHeight="1" s="31">
      <c r="A252" s="18" t="n"/>
      <c r="B252" s="18"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3.5" customHeight="1" s="31">
      <c r="A253" s="18" t="n"/>
      <c r="B253" s="18"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3.5" customHeight="1" s="31">
      <c r="A254" s="18" t="n"/>
      <c r="B254" s="18"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3.5" customHeight="1" s="31">
      <c r="A255" s="18" t="n"/>
      <c r="B255" s="18"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3.5" customHeight="1" s="31">
      <c r="A256" s="18" t="n"/>
      <c r="B256" s="18"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3.5" customHeight="1" s="31">
      <c r="A257" s="18" t="n"/>
      <c r="B257" s="18"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3.5" customHeight="1" s="31">
      <c r="A258" s="18" t="n"/>
      <c r="B258" s="18"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3.5" customHeight="1" s="31">
      <c r="A259" s="18" t="n"/>
      <c r="B259" s="18"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3.5" customHeight="1" s="31">
      <c r="A260" s="18" t="n"/>
      <c r="B260" s="18"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3.5" customHeight="1" s="31">
      <c r="A261" s="18" t="n"/>
      <c r="B261" s="18"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3.5" customHeight="1" s="31">
      <c r="A262" s="18" t="n"/>
      <c r="B262" s="18"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3.5" customHeight="1" s="31">
      <c r="A263" s="18" t="n"/>
      <c r="B263" s="18"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3.5" customHeight="1" s="31">
      <c r="A264" s="18" t="n"/>
      <c r="B264" s="18"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3.5" customHeight="1" s="31">
      <c r="A265" s="18" t="n"/>
      <c r="B265" s="18"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3.5" customHeight="1" s="31">
      <c r="A266" s="18" t="n"/>
      <c r="B266" s="18"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3.5" customHeight="1" s="31">
      <c r="A267" s="18" t="n"/>
      <c r="B267" s="18"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3.5" customHeight="1" s="31">
      <c r="A268" s="18" t="n"/>
      <c r="B268" s="18"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3.5" customHeight="1" s="31">
      <c r="A269" s="18" t="n"/>
      <c r="B269" s="18"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3.5" customHeight="1" s="31">
      <c r="A270" s="18" t="n"/>
      <c r="B270" s="18"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3.5" customHeight="1" s="31">
      <c r="A271" s="18" t="n"/>
      <c r="B271" s="18"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3.5" customHeight="1" s="31">
      <c r="A272" s="18" t="n"/>
      <c r="B272" s="18"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3.5" customHeight="1" s="31">
      <c r="A273" s="18" t="n"/>
      <c r="B273" s="18"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3.5" customHeight="1" s="31">
      <c r="A274" s="18" t="n"/>
      <c r="B274" s="18"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3.5" customHeight="1" s="31">
      <c r="A275" s="18" t="n"/>
      <c r="B275" s="18"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3.5" customHeight="1" s="31">
      <c r="A276" s="18" t="n"/>
      <c r="B276" s="18"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3.5" customHeight="1" s="31">
      <c r="A277" s="18" t="n"/>
      <c r="B277" s="18"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3.5" customHeight="1" s="31">
      <c r="A278" s="18" t="n"/>
      <c r="B278" s="18"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3.5" customHeight="1" s="31">
      <c r="A279" s="18" t="n"/>
      <c r="B279" s="18"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3.5" customHeight="1" s="31">
      <c r="A280" s="18" t="n"/>
      <c r="B280" s="18"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3.5" customHeight="1" s="31">
      <c r="A281" s="18" t="n"/>
      <c r="B281" s="18"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3.5" customHeight="1" s="31">
      <c r="A282" s="18" t="n"/>
      <c r="B282" s="18"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3.5" customHeight="1" s="31">
      <c r="A283" s="18" t="n"/>
      <c r="B283" s="18"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3.5" customHeight="1" s="31">
      <c r="A284" s="18" t="n"/>
      <c r="B284" s="18"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3.5" customHeight="1" s="31">
      <c r="A285" s="18" t="n"/>
      <c r="B285" s="18"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3.5" customHeight="1" s="31">
      <c r="A286" s="18" t="n"/>
      <c r="B286" s="18"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3.5" customHeight="1" s="31">
      <c r="A287" s="18" t="n"/>
      <c r="B287" s="18"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3.5" customHeight="1" s="31">
      <c r="A288" s="18" t="n"/>
      <c r="B288" s="18"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3.5" customHeight="1" s="31">
      <c r="A289" s="18" t="n"/>
      <c r="B289" s="18"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3.5" customHeight="1" s="31">
      <c r="A290" s="18" t="n"/>
      <c r="B290" s="18"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3.5" customHeight="1" s="31">
      <c r="A291" s="18" t="n"/>
      <c r="B291" s="18"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3.5" customHeight="1" s="31">
      <c r="A292" s="18" t="n"/>
      <c r="B292" s="18"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3.5" customHeight="1" s="31">
      <c r="A293" s="18" t="n"/>
      <c r="B293" s="18"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3.5" customHeight="1" s="31">
      <c r="A294" s="18" t="n"/>
      <c r="B294" s="18"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3.5" customHeight="1" s="31">
      <c r="A295" s="18" t="n"/>
      <c r="B295" s="18"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3.5" customHeight="1" s="31">
      <c r="A296" s="18" t="n"/>
      <c r="B296" s="18"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3.5" customHeight="1" s="31">
      <c r="A297" s="18" t="n"/>
      <c r="B297" s="18"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3.5" customHeight="1" s="31">
      <c r="A298" s="18" t="n"/>
      <c r="B298" s="18"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3.5" customHeight="1" s="31">
      <c r="A299" s="18" t="n"/>
      <c r="B299" s="18"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3.5" customHeight="1" s="31">
      <c r="A300" s="18" t="n"/>
      <c r="B300" s="18"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3.5" customHeight="1" s="31">
      <c r="A301" s="18" t="n"/>
      <c r="B301" s="18"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3.5" customHeight="1" s="31">
      <c r="A302" s="18" t="n"/>
      <c r="B302" s="18"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3.5" customHeight="1" s="31">
      <c r="A303" s="18" t="n"/>
      <c r="B303" s="18"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3.5" customHeight="1" s="31">
      <c r="A304" s="18" t="n"/>
      <c r="B304" s="18"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3.5" customHeight="1" s="31">
      <c r="A305" s="18" t="n"/>
      <c r="B305" s="18"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3.5" customHeight="1" s="31">
      <c r="A306" s="18" t="n"/>
      <c r="B306" s="18"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3.5" customHeight="1" s="31">
      <c r="A307" s="18" t="n"/>
      <c r="B307" s="18"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3.5" customHeight="1" s="31">
      <c r="A308" s="18" t="n"/>
      <c r="B308" s="18"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3.5" customHeight="1" s="31">
      <c r="A309" s="18" t="n"/>
      <c r="B309" s="18"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3.5" customHeight="1" s="31">
      <c r="A310" s="18" t="n"/>
      <c r="B310" s="18"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3.5" customHeight="1" s="31">
      <c r="A311" s="18" t="n"/>
      <c r="B311" s="18"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3.5" customHeight="1" s="31">
      <c r="A312" s="18" t="n"/>
      <c r="B312" s="18"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3.5" customHeight="1" s="31">
      <c r="A313" s="18" t="n"/>
      <c r="B313" s="18"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3.5" customHeight="1" s="31">
      <c r="A314" s="18" t="n"/>
      <c r="B314" s="18"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3.5" customHeight="1" s="31">
      <c r="A315" s="18" t="n"/>
      <c r="B315" s="18"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3.5" customHeight="1" s="31">
      <c r="A316" s="18" t="n"/>
      <c r="B316" s="18"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3.5" customHeight="1" s="31">
      <c r="A317" s="18" t="n"/>
      <c r="B317" s="18"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3.5" customHeight="1" s="31">
      <c r="A318" s="18" t="n"/>
      <c r="B318" s="18"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3.5" customHeight="1" s="31">
      <c r="A319" s="18" t="n"/>
      <c r="B319" s="18"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3.5" customHeight="1" s="31">
      <c r="A320" s="18" t="n"/>
      <c r="B320" s="18"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3.5" customHeight="1" s="31">
      <c r="A321" s="18" t="n"/>
      <c r="B321" s="18"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3.5" customHeight="1" s="31">
      <c r="A322" s="18" t="n"/>
      <c r="B322" s="18"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3.5" customHeight="1" s="31">
      <c r="A323" s="18" t="n"/>
      <c r="B323" s="18"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3.5" customHeight="1" s="31">
      <c r="A324" s="18" t="n"/>
      <c r="B324" s="18"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3.5" customHeight="1" s="31">
      <c r="A325" s="18" t="n"/>
      <c r="B325" s="18"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3.5" customHeight="1" s="31">
      <c r="A326" s="18" t="n"/>
      <c r="B326" s="18"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3.5" customHeight="1" s="31">
      <c r="A327" s="18" t="n"/>
      <c r="B327" s="18"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3.5" customHeight="1" s="31">
      <c r="A328" s="18" t="n"/>
      <c r="B328" s="18"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3.5" customHeight="1" s="31">
      <c r="A329" s="18" t="n"/>
      <c r="B329" s="18"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3.5" customHeight="1" s="31">
      <c r="A330" s="18" t="n"/>
      <c r="B330" s="18"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3.5" customHeight="1" s="31">
      <c r="A331" s="18" t="n"/>
      <c r="B331" s="18"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3.5" customHeight="1" s="31">
      <c r="A332" s="18" t="n"/>
      <c r="B332" s="18"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3.5" customHeight="1" s="31">
      <c r="A333" s="18" t="n"/>
      <c r="B333" s="18"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3.5" customHeight="1" s="31">
      <c r="A334" s="18" t="n"/>
      <c r="B334" s="18"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3.5" customHeight="1" s="31">
      <c r="A335" s="18" t="n"/>
      <c r="B335" s="18"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3.5" customHeight="1" s="31">
      <c r="A336" s="18" t="n"/>
      <c r="B336" s="18"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3.5" customHeight="1" s="31">
      <c r="A337" s="18" t="n"/>
      <c r="B337" s="18"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3.5" customHeight="1" s="31">
      <c r="A338" s="18" t="n"/>
      <c r="B338" s="18"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3.5" customHeight="1" s="31">
      <c r="A339" s="18" t="n"/>
      <c r="B339" s="18"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3.5" customHeight="1" s="31">
      <c r="A340" s="18" t="n"/>
      <c r="B340" s="18"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3.5" customHeight="1" s="31">
      <c r="A341" s="18" t="n"/>
      <c r="B341" s="18"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3.5" customHeight="1" s="31">
      <c r="A342" s="18" t="n"/>
      <c r="B342" s="18"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3.5" customHeight="1" s="31">
      <c r="A343" s="18" t="n"/>
      <c r="B343" s="18"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3.5" customHeight="1" s="31">
      <c r="A344" s="18" t="n"/>
      <c r="B344" s="18"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3.5" customHeight="1" s="31">
      <c r="A345" s="18" t="n"/>
      <c r="B345" s="18"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3.5" customHeight="1" s="31">
      <c r="A346" s="18" t="n"/>
      <c r="B346" s="18"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3.5" customHeight="1" s="31">
      <c r="A347" s="18" t="n"/>
      <c r="B347" s="18"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3.5" customHeight="1" s="31">
      <c r="A348" s="18" t="n"/>
      <c r="B348" s="18"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3.5" customHeight="1" s="31">
      <c r="A349" s="18" t="n"/>
      <c r="B349" s="18"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3.5" customHeight="1" s="31">
      <c r="A350" s="18" t="n"/>
      <c r="B350" s="18"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3.5" customHeight="1" s="31">
      <c r="A351" s="18" t="n"/>
      <c r="B351" s="18"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3.5" customHeight="1" s="31">
      <c r="A352" s="18" t="n"/>
      <c r="B352" s="18"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3.5" customHeight="1" s="31">
      <c r="A353" s="18" t="n"/>
      <c r="B353" s="18"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3.5" customHeight="1" s="31">
      <c r="A354" s="18" t="n"/>
      <c r="B354" s="18"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3.5" customHeight="1" s="31">
      <c r="A355" s="18" t="n"/>
      <c r="B355" s="18"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3.5" customHeight="1" s="31">
      <c r="A356" s="18" t="n"/>
      <c r="B356" s="18"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3.5" customHeight="1" s="31">
      <c r="A357" s="18" t="n"/>
      <c r="B357" s="18"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3.5" customHeight="1" s="31">
      <c r="A358" s="18" t="n"/>
      <c r="B358" s="18"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3.5" customHeight="1" s="31">
      <c r="A359" s="18" t="n"/>
      <c r="B359" s="18"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3.5" customHeight="1" s="31">
      <c r="A360" s="18" t="n"/>
      <c r="B360" s="18"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3.5" customHeight="1" s="31">
      <c r="A361" s="18" t="n"/>
      <c r="B361" s="18"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3.5" customHeight="1" s="31">
      <c r="A362" s="18" t="n"/>
      <c r="B362" s="18"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3.5" customHeight="1" s="31">
      <c r="A363" s="18" t="n"/>
      <c r="B363" s="18"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3.5" customHeight="1" s="31">
      <c r="A364" s="18" t="n"/>
      <c r="B364" s="18"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3.5" customHeight="1" s="31">
      <c r="A365" s="18" t="n"/>
      <c r="B365" s="18"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3.5" customHeight="1" s="31">
      <c r="A366" s="18" t="n"/>
      <c r="B366" s="18"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3.5" customHeight="1" s="31">
      <c r="A367" s="18" t="n"/>
      <c r="B367" s="18"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3.5" customHeight="1" s="31">
      <c r="A368" s="18" t="n"/>
      <c r="B368" s="18"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3.5" customHeight="1" s="31">
      <c r="A369" s="18" t="n"/>
      <c r="B369" s="18"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3.5" customHeight="1" s="31">
      <c r="A370" s="18" t="n"/>
      <c r="B370" s="18"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3.5" customHeight="1" s="31">
      <c r="A371" s="18" t="n"/>
      <c r="B371" s="18"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3.5" customHeight="1" s="31">
      <c r="A372" s="18" t="n"/>
      <c r="B372" s="18"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3.5" customHeight="1" s="31">
      <c r="A373" s="18" t="n"/>
      <c r="B373" s="18"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3.5" customHeight="1" s="31">
      <c r="A374" s="18" t="n"/>
      <c r="B374" s="18"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3.5" customHeight="1" s="31">
      <c r="A375" s="18" t="n"/>
      <c r="B375" s="18"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3.5" customHeight="1" s="31">
      <c r="A376" s="18" t="n"/>
      <c r="B376" s="18"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3.5" customHeight="1" s="31">
      <c r="A377" s="18" t="n"/>
      <c r="B377" s="18"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3.5" customHeight="1" s="31">
      <c r="A378" s="18" t="n"/>
      <c r="B378" s="18"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3.5" customHeight="1" s="31">
      <c r="A379" s="18" t="n"/>
      <c r="B379" s="18"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3.5" customHeight="1" s="31">
      <c r="A380" s="18" t="n"/>
      <c r="B380" s="18"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3.5" customHeight="1" s="31">
      <c r="A381" s="18" t="n"/>
      <c r="B381" s="18"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3.5" customHeight="1" s="31">
      <c r="A382" s="18" t="n"/>
      <c r="B382" s="18"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3.5" customHeight="1" s="31">
      <c r="A383" s="18" t="n"/>
      <c r="B383" s="18"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3.5" customHeight="1" s="31">
      <c r="A384" s="18" t="n"/>
      <c r="B384" s="18"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3.5" customHeight="1" s="31">
      <c r="A385" s="18" t="n"/>
      <c r="B385" s="18"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3.5" customHeight="1" s="31">
      <c r="A386" s="18" t="n"/>
      <c r="B386" s="18"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3.5" customHeight="1" s="31">
      <c r="A387" s="18" t="n"/>
      <c r="B387" s="18"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3.5" customHeight="1" s="31">
      <c r="A388" s="18" t="n"/>
      <c r="B388" s="18"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3.5" customHeight="1" s="31">
      <c r="A389" s="18" t="n"/>
      <c r="B389" s="18"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3.5" customHeight="1" s="31">
      <c r="A390" s="18" t="n"/>
      <c r="B390" s="18"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3.5" customHeight="1" s="31">
      <c r="A391" s="18" t="n"/>
      <c r="B391" s="18"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3.5" customHeight="1" s="31">
      <c r="A392" s="18" t="n"/>
      <c r="B392" s="18"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3.5" customHeight="1" s="31">
      <c r="A393" s="18" t="n"/>
      <c r="B393" s="18"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3.5" customHeight="1" s="31">
      <c r="A394" s="18" t="n"/>
      <c r="B394" s="18"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3.5" customHeight="1" s="31">
      <c r="A395" s="18" t="n"/>
      <c r="B395" s="18"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3.5" customHeight="1" s="31">
      <c r="A396" s="18" t="n"/>
      <c r="B396" s="18"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3.5" customHeight="1" s="31">
      <c r="A397" s="18" t="n"/>
      <c r="B397" s="18"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3.5" customHeight="1" s="31">
      <c r="A398" s="18" t="n"/>
      <c r="B398" s="18"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3.5" customHeight="1" s="31">
      <c r="A399" s="18" t="n"/>
      <c r="B399" s="18"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3.5" customHeight="1" s="31">
      <c r="A400" s="18" t="n"/>
      <c r="B400" s="18"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3.5" customHeight="1" s="31">
      <c r="A401" s="18" t="n"/>
      <c r="B401" s="18"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3.5" customHeight="1" s="31">
      <c r="A402" s="18" t="n"/>
      <c r="B402" s="18"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3.5" customHeight="1" s="31">
      <c r="A403" s="18" t="n"/>
      <c r="B403" s="18"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3.5" customHeight="1" s="31">
      <c r="A404" s="18" t="n"/>
      <c r="B404" s="18"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3.5" customHeight="1" s="31">
      <c r="A405" s="18" t="n"/>
      <c r="B405" s="18"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3.5" customHeight="1" s="31">
      <c r="A406" s="18" t="n"/>
      <c r="B406" s="18"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3.5" customHeight="1" s="31">
      <c r="A407" s="18" t="n"/>
      <c r="B407" s="18"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3.5" customHeight="1" s="31">
      <c r="A408" s="18" t="n"/>
      <c r="B408" s="18"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3.5" customHeight="1" s="31">
      <c r="A409" s="18" t="n"/>
      <c r="B409" s="18"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3.5" customHeight="1" s="31">
      <c r="A410" s="18" t="n"/>
      <c r="B410" s="18"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3.5" customHeight="1" s="31">
      <c r="A411" s="18" t="n"/>
      <c r="B411" s="18"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3.5" customHeight="1" s="31">
      <c r="A412" s="18" t="n"/>
      <c r="B412" s="18"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3.5" customHeight="1" s="31">
      <c r="A413" s="18" t="n"/>
      <c r="B413" s="18"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3.5" customHeight="1" s="31">
      <c r="A414" s="18" t="n"/>
      <c r="B414" s="18"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3.5" customHeight="1" s="31">
      <c r="A415" s="18" t="n"/>
      <c r="B415" s="18"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3.5" customHeight="1" s="31">
      <c r="A416" s="18" t="n"/>
      <c r="B416" s="18"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3.5" customHeight="1" s="31">
      <c r="A417" s="18" t="n"/>
      <c r="B417" s="18"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3.5" customHeight="1" s="31">
      <c r="A418" s="18" t="n"/>
      <c r="B418" s="18"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3.5" customHeight="1" s="31">
      <c r="A419" s="18" t="n"/>
      <c r="B419" s="18"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3.5" customHeight="1" s="31">
      <c r="A420" s="18" t="n"/>
      <c r="B420" s="18"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3.5" customHeight="1" s="31">
      <c r="A421" s="18" t="n"/>
      <c r="B421" s="18"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3.5" customHeight="1" s="31">
      <c r="A422" s="18" t="n"/>
      <c r="B422" s="18"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3.5" customHeight="1" s="31">
      <c r="A423" s="18" t="n"/>
      <c r="B423" s="18"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3.5" customHeight="1" s="31">
      <c r="A424" s="18" t="n"/>
      <c r="B424" s="18"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3.5" customHeight="1" s="31">
      <c r="A425" s="18" t="n"/>
      <c r="B425" s="18"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3.5" customHeight="1" s="31">
      <c r="A426" s="18" t="n"/>
      <c r="B426" s="18"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3.5" customHeight="1" s="31">
      <c r="A427" s="18" t="n"/>
      <c r="B427" s="18"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3.5" customHeight="1" s="31">
      <c r="A428" s="18" t="n"/>
      <c r="B428" s="18"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3.5" customHeight="1" s="31">
      <c r="A429" s="18" t="n"/>
      <c r="B429" s="18"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3.5" customHeight="1" s="31">
      <c r="A430" s="18" t="n"/>
      <c r="B430" s="18"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3.5" customHeight="1" s="31">
      <c r="A431" s="18" t="n"/>
      <c r="B431" s="18"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3.5" customHeight="1" s="31">
      <c r="A432" s="18" t="n"/>
      <c r="B432" s="18"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3.5" customHeight="1" s="31">
      <c r="A433" s="18" t="n"/>
      <c r="B433" s="18"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3.5" customHeight="1" s="31">
      <c r="A434" s="18" t="n"/>
      <c r="B434" s="18"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3.5" customHeight="1" s="31">
      <c r="A435" s="18" t="n"/>
      <c r="B435" s="18"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3.5" customHeight="1" s="31">
      <c r="A436" s="18" t="n"/>
      <c r="B436" s="18"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3.5" customHeight="1" s="31">
      <c r="A437" s="18" t="n"/>
      <c r="B437" s="18"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3.5" customHeight="1" s="31">
      <c r="A438" s="18" t="n"/>
      <c r="B438" s="18"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3.5" customHeight="1" s="31">
      <c r="A439" s="18" t="n"/>
      <c r="B439" s="18"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3.5" customHeight="1" s="31">
      <c r="A440" s="18" t="n"/>
      <c r="B440" s="18"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3.5" customHeight="1" s="31">
      <c r="A441" s="18" t="n"/>
      <c r="B441" s="18"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3.5" customHeight="1" s="31">
      <c r="A442" s="18" t="n"/>
      <c r="B442" s="18"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3.5" customHeight="1" s="31">
      <c r="A443" s="18" t="n"/>
      <c r="B443" s="18"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3.5" customHeight="1" s="31">
      <c r="A444" s="18" t="n"/>
      <c r="B444" s="18"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3.5" customHeight="1" s="31">
      <c r="A445" s="18" t="n"/>
      <c r="B445" s="18"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3.5" customHeight="1" s="31">
      <c r="A446" s="18" t="n"/>
      <c r="B446" s="18"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3.5" customHeight="1" s="31">
      <c r="A447" s="18" t="n"/>
      <c r="B447" s="18"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3.5" customHeight="1" s="31">
      <c r="A448" s="18" t="n"/>
      <c r="B448" s="18"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3.5" customHeight="1" s="31">
      <c r="A449" s="18" t="n"/>
      <c r="B449" s="18"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3.5" customHeight="1" s="31">
      <c r="A450" s="18" t="n"/>
      <c r="B450" s="18"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3.5" customHeight="1" s="31">
      <c r="A451" s="18" t="n"/>
      <c r="B451" s="18"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3.5" customHeight="1" s="31">
      <c r="A452" s="18" t="n"/>
      <c r="B452" s="18"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3.5" customHeight="1" s="31">
      <c r="A453" s="18" t="n"/>
      <c r="B453" s="18"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3.5" customHeight="1" s="31">
      <c r="A454" s="18" t="n"/>
      <c r="B454" s="18"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3.5" customHeight="1" s="31">
      <c r="A455" s="18" t="n"/>
      <c r="B455" s="18"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3.5" customHeight="1" s="31">
      <c r="A456" s="18" t="n"/>
      <c r="B456" s="18"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3.5" customHeight="1" s="31">
      <c r="A457" s="18" t="n"/>
      <c r="B457" s="18"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3.5" customHeight="1" s="31">
      <c r="A458" s="18" t="n"/>
      <c r="B458" s="18"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3.5" customHeight="1" s="31">
      <c r="A459" s="18" t="n"/>
      <c r="B459" s="18"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3.5" customHeight="1" s="31">
      <c r="A460" s="18" t="n"/>
      <c r="B460" s="18"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3.5" customHeight="1" s="31">
      <c r="A461" s="18" t="n"/>
      <c r="B461" s="18"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3.5" customHeight="1" s="31">
      <c r="A462" s="18" t="n"/>
      <c r="B462" s="18"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3.5" customHeight="1" s="31">
      <c r="A463" s="18" t="n"/>
      <c r="B463" s="18"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3.5" customHeight="1" s="31">
      <c r="A464" s="18" t="n"/>
      <c r="B464" s="18"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3.5" customHeight="1" s="31">
      <c r="A465" s="18" t="n"/>
      <c r="B465" s="18"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3.5" customHeight="1" s="31">
      <c r="A466" s="18" t="n"/>
      <c r="B466" s="18"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3.5" customHeight="1" s="31">
      <c r="A467" s="18" t="n"/>
      <c r="B467" s="18"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3.5" customHeight="1" s="31">
      <c r="A468" s="18" t="n"/>
      <c r="B468" s="18"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3.5" customHeight="1" s="31">
      <c r="A469" s="18" t="n"/>
      <c r="B469" s="18"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3.5" customHeight="1" s="31">
      <c r="A470" s="18" t="n"/>
      <c r="B470" s="18"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3.5" customHeight="1" s="31">
      <c r="A471" s="18" t="n"/>
      <c r="B471" s="18"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3.5" customHeight="1" s="31">
      <c r="A472" s="18" t="n"/>
      <c r="B472" s="18"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3.5" customHeight="1" s="31">
      <c r="A473" s="18" t="n"/>
      <c r="B473" s="18"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3.5" customHeight="1" s="31">
      <c r="A474" s="18" t="n"/>
      <c r="B474" s="18"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3.5" customHeight="1" s="31">
      <c r="A475" s="18" t="n"/>
      <c r="B475" s="18"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3.5" customHeight="1" s="31">
      <c r="A476" s="18" t="n"/>
      <c r="B476" s="18"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3.5" customHeight="1" s="31">
      <c r="A477" s="18" t="n"/>
      <c r="B477" s="18"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3.5" customHeight="1" s="31">
      <c r="A478" s="18" t="n"/>
      <c r="B478" s="18"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3.5" customHeight="1" s="31">
      <c r="A479" s="18" t="n"/>
      <c r="B479" s="18"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3.5" customHeight="1" s="31">
      <c r="A480" s="18" t="n"/>
      <c r="B480" s="18"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3.5" customHeight="1" s="31">
      <c r="A481" s="18" t="n"/>
      <c r="B481" s="18"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3.5" customHeight="1" s="31">
      <c r="A482" s="18" t="n"/>
      <c r="B482" s="18"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3.5" customHeight="1" s="31">
      <c r="A483" s="18" t="n"/>
      <c r="B483" s="18"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3.5" customHeight="1" s="31">
      <c r="A484" s="18" t="n"/>
      <c r="B484" s="18"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3.5" customHeight="1" s="31">
      <c r="A485" s="18" t="n"/>
      <c r="B485" s="18"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3.5" customHeight="1" s="31">
      <c r="A486" s="18" t="n"/>
      <c r="B486" s="18"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3.5" customHeight="1" s="31">
      <c r="A487" s="18" t="n"/>
      <c r="B487" s="18"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3.5" customHeight="1" s="31">
      <c r="A488" s="18" t="n"/>
      <c r="B488" s="18"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3.5" customHeight="1" s="31">
      <c r="A489" s="18" t="n"/>
      <c r="B489" s="18"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3.5" customHeight="1" s="31">
      <c r="A490" s="18" t="n"/>
      <c r="B490" s="18"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3.5" customHeight="1" s="31">
      <c r="A491" s="18" t="n"/>
      <c r="B491" s="18"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3.5" customHeight="1" s="31">
      <c r="A492" s="18" t="n"/>
      <c r="B492" s="18"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3.5" customHeight="1" s="31">
      <c r="A493" s="18" t="n"/>
      <c r="B493" s="18"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3.5" customHeight="1" s="31">
      <c r="A494" s="18" t="n"/>
      <c r="B494" s="18"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3.5" customHeight="1" s="31">
      <c r="A495" s="18" t="n"/>
      <c r="B495" s="18"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3.5" customHeight="1" s="31">
      <c r="A496" s="18" t="n"/>
      <c r="B496" s="18"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3.5" customHeight="1" s="31">
      <c r="A497" s="18" t="n"/>
      <c r="B497" s="18"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3.5" customHeight="1" s="31">
      <c r="A498" s="18" t="n"/>
      <c r="B498" s="18"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3.5" customHeight="1" s="31">
      <c r="A499" s="18" t="n"/>
      <c r="B499" s="18"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3.5" customHeight="1" s="31">
      <c r="A500" s="18" t="n"/>
      <c r="B500" s="18"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3.5" customHeight="1" s="31">
      <c r="A501" s="18" t="n"/>
      <c r="B501" s="18"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3.5" customHeight="1" s="31">
      <c r="A502" s="18" t="n"/>
      <c r="B502" s="18"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3.5" customHeight="1" s="31">
      <c r="A503" s="18" t="n"/>
      <c r="B503" s="18"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3.5" customHeight="1" s="31">
      <c r="A504" s="18" t="n"/>
      <c r="B504" s="18"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3.5" customHeight="1" s="31">
      <c r="A505" s="18" t="n"/>
      <c r="B505" s="18"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3.5" customHeight="1" s="31">
      <c r="A506" s="18" t="n"/>
      <c r="B506" s="18"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3.5" customHeight="1" s="31">
      <c r="A507" s="18" t="n"/>
      <c r="B507" s="18"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3.5" customHeight="1" s="31">
      <c r="A508" s="18" t="n"/>
      <c r="B508" s="18"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3.5" customHeight="1" s="31">
      <c r="A509" s="18" t="n"/>
      <c r="B509" s="18"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3.5" customHeight="1" s="31">
      <c r="A510" s="18" t="n"/>
      <c r="B510" s="18"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3.5" customHeight="1" s="31">
      <c r="A511" s="18" t="n"/>
      <c r="B511" s="18"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3.5" customHeight="1" s="31">
      <c r="A512" s="18" t="n"/>
      <c r="B512" s="18"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3.5" customHeight="1" s="31">
      <c r="A513" s="18" t="n"/>
      <c r="B513" s="18"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3.5" customHeight="1" s="31">
      <c r="A514" s="18" t="n"/>
      <c r="B514" s="18"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3.5" customHeight="1" s="31">
      <c r="A515" s="18" t="n"/>
      <c r="B515" s="18"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3.5" customHeight="1" s="31">
      <c r="A516" s="18" t="n"/>
      <c r="B516" s="18"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3.5" customHeight="1" s="31">
      <c r="A517" s="18" t="n"/>
      <c r="B517" s="18"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3.5" customHeight="1" s="31">
      <c r="A518" s="18" t="n"/>
      <c r="B518" s="18"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3.5" customHeight="1" s="31">
      <c r="A519" s="18" t="n"/>
      <c r="B519" s="18"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3.5" customHeight="1" s="31">
      <c r="A520" s="18" t="n"/>
      <c r="B520" s="18"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3.5" customHeight="1" s="31">
      <c r="A521" s="18" t="n"/>
      <c r="B521" s="18"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3.5" customHeight="1" s="31">
      <c r="A522" s="18" t="n"/>
      <c r="B522" s="18"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3.5" customHeight="1" s="31">
      <c r="A523" s="18" t="n"/>
      <c r="B523" s="18"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3.5" customHeight="1" s="31">
      <c r="A524" s="18" t="n"/>
      <c r="B524" s="18"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3.5" customHeight="1" s="31">
      <c r="A525" s="18" t="n"/>
      <c r="B525" s="18"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3.5" customHeight="1" s="31">
      <c r="A526" s="18" t="n"/>
      <c r="B526" s="18"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3.5" customHeight="1" s="31">
      <c r="A527" s="18" t="n"/>
      <c r="B527" s="18"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3.5" customHeight="1" s="31">
      <c r="A528" s="18" t="n"/>
      <c r="B528" s="18"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3.5" customHeight="1" s="31">
      <c r="A529" s="18" t="n"/>
      <c r="B529" s="18"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3.5" customHeight="1" s="31">
      <c r="A530" s="18" t="n"/>
      <c r="B530" s="18"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3.5" customHeight="1" s="31">
      <c r="A531" s="18" t="n"/>
      <c r="B531" s="18"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3.5" customHeight="1" s="31">
      <c r="A532" s="18" t="n"/>
      <c r="B532" s="18"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3.5" customHeight="1" s="31">
      <c r="A533" s="18" t="n"/>
      <c r="B533" s="18"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3.5" customHeight="1" s="31">
      <c r="A534" s="18" t="n"/>
      <c r="B534" s="18"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3.5" customHeight="1" s="31">
      <c r="A535" s="18" t="n"/>
      <c r="B535" s="18"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3.5" customHeight="1" s="31">
      <c r="A536" s="18" t="n"/>
      <c r="B536" s="18"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3.5" customHeight="1" s="31">
      <c r="A537" s="18" t="n"/>
      <c r="B537" s="18"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3.5" customHeight="1" s="31">
      <c r="A538" s="18" t="n"/>
      <c r="B538" s="18"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3.5" customHeight="1" s="31">
      <c r="A539" s="18" t="n"/>
      <c r="B539" s="18"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3.5" customHeight="1" s="31">
      <c r="A540" s="18" t="n"/>
      <c r="B540" s="18"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3.5" customHeight="1" s="31">
      <c r="A541" s="18" t="n"/>
      <c r="B541" s="18"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3.5" customHeight="1" s="31">
      <c r="A542" s="18" t="n"/>
      <c r="B542" s="18"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3.5" customHeight="1" s="31">
      <c r="A543" s="18" t="n"/>
      <c r="B543" s="18"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3.5" customHeight="1" s="31">
      <c r="A544" s="18" t="n"/>
      <c r="B544" s="18"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3.5" customHeight="1" s="31">
      <c r="A545" s="18" t="n"/>
      <c r="B545" s="18"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3.5" customHeight="1" s="31">
      <c r="A546" s="18" t="n"/>
      <c r="B546" s="18"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3.5" customHeight="1" s="31">
      <c r="A547" s="18" t="n"/>
      <c r="B547" s="18"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3.5" customHeight="1" s="31">
      <c r="A548" s="18" t="n"/>
      <c r="B548" s="18"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3.5" customHeight="1" s="31">
      <c r="A549" s="18" t="n"/>
      <c r="B549" s="18"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3.5" customHeight="1" s="31">
      <c r="A550" s="18" t="n"/>
      <c r="B550" s="18"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3.5" customHeight="1" s="31">
      <c r="A551" s="18" t="n"/>
      <c r="B551" s="18"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3.5" customHeight="1" s="31">
      <c r="A552" s="18" t="n"/>
      <c r="B552" s="18"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3.5" customHeight="1" s="31">
      <c r="A553" s="18" t="n"/>
      <c r="B553" s="18"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3.5" customHeight="1" s="31">
      <c r="A554" s="18" t="n"/>
      <c r="B554" s="18"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3.5" customHeight="1" s="31">
      <c r="A555" s="18" t="n"/>
      <c r="B555" s="18"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3.5" customHeight="1" s="31">
      <c r="A556" s="18" t="n"/>
      <c r="B556" s="18"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3.5" customHeight="1" s="31">
      <c r="A557" s="18" t="n"/>
      <c r="B557" s="18"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3.5" customHeight="1" s="31">
      <c r="A558" s="18" t="n"/>
      <c r="B558" s="18"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3.5" customHeight="1" s="31">
      <c r="A559" s="18" t="n"/>
      <c r="B559" s="18"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3.5" customHeight="1" s="31">
      <c r="A560" s="18" t="n"/>
      <c r="B560" s="18"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3.5" customHeight="1" s="31">
      <c r="A561" s="18" t="n"/>
      <c r="B561" s="18"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3.5" customHeight="1" s="31">
      <c r="A562" s="18" t="n"/>
      <c r="B562" s="18"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3.5" customHeight="1" s="31">
      <c r="A563" s="18" t="n"/>
      <c r="B563" s="18"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3.5" customHeight="1" s="31">
      <c r="A564" s="18" t="n"/>
      <c r="B564" s="18"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3.5" customHeight="1" s="31">
      <c r="A565" s="18" t="n"/>
      <c r="B565" s="18"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3.5" customHeight="1" s="31">
      <c r="A566" s="18" t="n"/>
      <c r="B566" s="18"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3.5" customHeight="1" s="31">
      <c r="A567" s="18" t="n"/>
      <c r="B567" s="18"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3.5" customHeight="1" s="31">
      <c r="A568" s="18" t="n"/>
      <c r="B568" s="18"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3.5" customHeight="1" s="31">
      <c r="A569" s="18" t="n"/>
      <c r="B569" s="18"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3.5" customHeight="1" s="31">
      <c r="A570" s="18" t="n"/>
      <c r="B570" s="18"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3.5" customHeight="1" s="31">
      <c r="A571" s="18" t="n"/>
      <c r="B571" s="18"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3.5" customHeight="1" s="31">
      <c r="A572" s="18" t="n"/>
      <c r="B572" s="18"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3.5" customHeight="1" s="31">
      <c r="A573" s="18" t="n"/>
      <c r="B573" s="18"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3.5" customHeight="1" s="31">
      <c r="A574" s="18" t="n"/>
      <c r="B574" s="18"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3.5" customHeight="1" s="31">
      <c r="A575" s="18" t="n"/>
      <c r="B575" s="18"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3.5" customHeight="1" s="31">
      <c r="A576" s="18" t="n"/>
      <c r="B576" s="18"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3.5" customHeight="1" s="31">
      <c r="A577" s="18" t="n"/>
      <c r="B577" s="18"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3.5" customHeight="1" s="31">
      <c r="A578" s="18" t="n"/>
      <c r="B578" s="18"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3.5" customHeight="1" s="31">
      <c r="A579" s="18" t="n"/>
      <c r="B579" s="18"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3.5" customHeight="1" s="31">
      <c r="A580" s="18" t="n"/>
      <c r="B580" s="18"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3.5" customHeight="1" s="31">
      <c r="A581" s="18" t="n"/>
      <c r="B581" s="18"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3.5" customHeight="1" s="31">
      <c r="A582" s="18" t="n"/>
      <c r="B582" s="18"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3.5" customHeight="1" s="31">
      <c r="A583" s="18" t="n"/>
      <c r="B583" s="18"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3.5" customHeight="1" s="31">
      <c r="A584" s="18" t="n"/>
      <c r="B584" s="18"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3.5" customHeight="1" s="31">
      <c r="A585" s="18" t="n"/>
      <c r="B585" s="18"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3.5" customHeight="1" s="31">
      <c r="A586" s="18" t="n"/>
      <c r="B586" s="18"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3.5" customHeight="1" s="31">
      <c r="A587" s="18" t="n"/>
      <c r="B587" s="18"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3.5" customHeight="1" s="31">
      <c r="A588" s="18" t="n"/>
      <c r="B588" s="18"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3.5" customHeight="1" s="31">
      <c r="A589" s="18" t="n"/>
      <c r="B589" s="18"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3.5" customHeight="1" s="31">
      <c r="A590" s="18" t="n"/>
      <c r="B590" s="18"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3.5" customHeight="1" s="31">
      <c r="A591" s="18" t="n"/>
      <c r="B591" s="18"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3.5" customHeight="1" s="31">
      <c r="A592" s="18" t="n"/>
      <c r="B592" s="18"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3.5" customHeight="1" s="31">
      <c r="A593" s="18" t="n"/>
      <c r="B593" s="18"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3.5" customHeight="1" s="31">
      <c r="A594" s="18" t="n"/>
      <c r="B594" s="18"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3.5" customHeight="1" s="31">
      <c r="A595" s="18" t="n"/>
      <c r="B595" s="18"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3.5" customHeight="1" s="31">
      <c r="A596" s="18" t="n"/>
      <c r="B596" s="18"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3.5" customHeight="1" s="31">
      <c r="A597" s="18" t="n"/>
      <c r="B597" s="18"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3.5" customHeight="1" s="31">
      <c r="A598" s="18" t="n"/>
      <c r="B598" s="18"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3.5" customHeight="1" s="31">
      <c r="A599" s="18" t="n"/>
      <c r="B599" s="18"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3.5" customHeight="1" s="31">
      <c r="A600" s="18" t="n"/>
      <c r="B600" s="18"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3.5" customHeight="1" s="31">
      <c r="A601" s="18" t="n"/>
      <c r="B601" s="18"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3.5" customHeight="1" s="31">
      <c r="A602" s="18" t="n"/>
      <c r="B602" s="18"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3.5" customHeight="1" s="31">
      <c r="A603" s="18" t="n"/>
      <c r="B603" s="18"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3.5" customHeight="1" s="31">
      <c r="A604" s="18" t="n"/>
      <c r="B604" s="18"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3.5" customHeight="1" s="31">
      <c r="A605" s="18" t="n"/>
      <c r="B605" s="18"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3.5" customHeight="1" s="31">
      <c r="A606" s="18" t="n"/>
      <c r="B606" s="18"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3.5" customHeight="1" s="31">
      <c r="A607" s="18" t="n"/>
      <c r="B607" s="18"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3.5" customHeight="1" s="31">
      <c r="A608" s="18" t="n"/>
      <c r="B608" s="18"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3.5" customHeight="1" s="31">
      <c r="A609" s="18" t="n"/>
      <c r="B609" s="18"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3.5" customHeight="1" s="31">
      <c r="A610" s="18" t="n"/>
      <c r="B610" s="18"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3.5" customHeight="1" s="31">
      <c r="A611" s="18" t="n"/>
      <c r="B611" s="18"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3.5" customHeight="1" s="31">
      <c r="A612" s="18" t="n"/>
      <c r="B612" s="18"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3.5" customHeight="1" s="31">
      <c r="A613" s="18" t="n"/>
      <c r="B613" s="18"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3.5" customHeight="1" s="31">
      <c r="A614" s="18" t="n"/>
      <c r="B614" s="18"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3.5" customHeight="1" s="31">
      <c r="A615" s="18" t="n"/>
      <c r="B615" s="18"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3.5" customHeight="1" s="31">
      <c r="A616" s="18" t="n"/>
      <c r="B616" s="18"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3.5" customHeight="1" s="31">
      <c r="A617" s="18" t="n"/>
      <c r="B617" s="18"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3.5" customHeight="1" s="31">
      <c r="A618" s="18" t="n"/>
      <c r="B618" s="18"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3.5" customHeight="1" s="31">
      <c r="A619" s="18" t="n"/>
      <c r="B619" s="18"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3.5" customHeight="1" s="31">
      <c r="A620" s="18" t="n"/>
      <c r="B620" s="18"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3.5" customHeight="1" s="31">
      <c r="A621" s="18" t="n"/>
      <c r="B621" s="18"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3.5" customHeight="1" s="31">
      <c r="A622" s="18" t="n"/>
      <c r="B622" s="18"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3.5" customHeight="1" s="31">
      <c r="A623" s="18" t="n"/>
      <c r="B623" s="18"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3.5" customHeight="1" s="31">
      <c r="A624" s="18" t="n"/>
      <c r="B624" s="18"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3.5" customHeight="1" s="31">
      <c r="A625" s="18" t="n"/>
      <c r="B625" s="18"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3.5" customHeight="1" s="31">
      <c r="A626" s="18" t="n"/>
      <c r="B626" s="18"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3.5" customHeight="1" s="31">
      <c r="A627" s="18" t="n"/>
      <c r="B627" s="18"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3.5" customHeight="1" s="31">
      <c r="A628" s="18" t="n"/>
      <c r="B628" s="18"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3.5" customHeight="1" s="31">
      <c r="A629" s="18" t="n"/>
      <c r="B629" s="18"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3.5" customHeight="1" s="31">
      <c r="A630" s="18" t="n"/>
      <c r="B630" s="18"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3.5" customHeight="1" s="31">
      <c r="A631" s="18" t="n"/>
      <c r="B631" s="18"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3.5" customHeight="1" s="31">
      <c r="A632" s="18" t="n"/>
      <c r="B632" s="18"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3.5" customHeight="1" s="31">
      <c r="A633" s="18" t="n"/>
      <c r="B633" s="18"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3.5" customHeight="1" s="31">
      <c r="A634" s="18" t="n"/>
      <c r="B634" s="18"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3.5" customHeight="1" s="31">
      <c r="A635" s="18" t="n"/>
      <c r="B635" s="18"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3.5" customHeight="1" s="31">
      <c r="A636" s="18" t="n"/>
      <c r="B636" s="18"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3.5" customHeight="1" s="31">
      <c r="A637" s="18" t="n"/>
      <c r="B637" s="18"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3.5" customHeight="1" s="31">
      <c r="A638" s="18" t="n"/>
      <c r="B638" s="18"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3.5" customHeight="1" s="31">
      <c r="A639" s="18" t="n"/>
      <c r="B639" s="18"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3.5" customHeight="1" s="31">
      <c r="A640" s="18" t="n"/>
      <c r="B640" s="18"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3.5" customHeight="1" s="31">
      <c r="A641" s="18" t="n"/>
      <c r="B641" s="18"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3.5" customHeight="1" s="31">
      <c r="A642" s="18" t="n"/>
      <c r="B642" s="18"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3.5" customHeight="1" s="31">
      <c r="A643" s="18" t="n"/>
      <c r="B643" s="18"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3.5" customHeight="1" s="31">
      <c r="A644" s="18" t="n"/>
      <c r="B644" s="18"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3.5" customHeight="1" s="31">
      <c r="A645" s="18" t="n"/>
      <c r="B645" s="18"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3.5" customHeight="1" s="31">
      <c r="A646" s="18" t="n"/>
      <c r="B646" s="18"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3.5" customHeight="1" s="31">
      <c r="A647" s="18" t="n"/>
      <c r="B647" s="18"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3.5" customHeight="1" s="31">
      <c r="A648" s="18" t="n"/>
      <c r="B648" s="18"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3.5" customHeight="1" s="31">
      <c r="A649" s="18" t="n"/>
      <c r="B649" s="18"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3.5" customHeight="1" s="31">
      <c r="A650" s="18" t="n"/>
      <c r="B650" s="18"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3.5" customHeight="1" s="31">
      <c r="A651" s="18" t="n"/>
      <c r="B651" s="18"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3.5" customHeight="1" s="31">
      <c r="A652" s="18" t="n"/>
      <c r="B652" s="18"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3.5" customHeight="1" s="31">
      <c r="A653" s="18" t="n"/>
      <c r="B653" s="18"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3.5" customHeight="1" s="31">
      <c r="A654" s="18" t="n"/>
      <c r="B654" s="18"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3.5" customHeight="1" s="31">
      <c r="A655" s="18" t="n"/>
      <c r="B655" s="18"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3.5" customHeight="1" s="31">
      <c r="A656" s="18" t="n"/>
      <c r="B656" s="18"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3.5" customHeight="1" s="31">
      <c r="A657" s="18" t="n"/>
      <c r="B657" s="18"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3.5" customHeight="1" s="31">
      <c r="A658" s="18" t="n"/>
      <c r="B658" s="18"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3.5" customHeight="1" s="31">
      <c r="A659" s="18" t="n"/>
      <c r="B659" s="18"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3.5" customHeight="1" s="31">
      <c r="A660" s="18" t="n"/>
      <c r="B660" s="18"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3.5" customHeight="1" s="31">
      <c r="A661" s="18" t="n"/>
      <c r="B661" s="18"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3.5" customHeight="1" s="31">
      <c r="A662" s="18" t="n"/>
      <c r="B662" s="18"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3.5" customHeight="1" s="31">
      <c r="A663" s="18" t="n"/>
      <c r="B663" s="18"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3.5" customHeight="1" s="31">
      <c r="A664" s="18" t="n"/>
      <c r="B664" s="18"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3.5" customHeight="1" s="31">
      <c r="A665" s="18" t="n"/>
      <c r="B665" s="18"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3.5" customHeight="1" s="31">
      <c r="A666" s="18" t="n"/>
      <c r="B666" s="18"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3.5" customHeight="1" s="31">
      <c r="A667" s="18" t="n"/>
      <c r="B667" s="18"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3.5" customHeight="1" s="31">
      <c r="A668" s="18" t="n"/>
      <c r="B668" s="18"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3.5" customHeight="1" s="31">
      <c r="A669" s="18" t="n"/>
      <c r="B669" s="18"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3.5" customHeight="1" s="31">
      <c r="A670" s="18" t="n"/>
      <c r="B670" s="18"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3.5" customHeight="1" s="31">
      <c r="A671" s="18" t="n"/>
      <c r="B671" s="18"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3.5" customHeight="1" s="31">
      <c r="A672" s="18" t="n"/>
      <c r="B672" s="18"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3.5" customHeight="1" s="31">
      <c r="A673" s="18" t="n"/>
      <c r="B673" s="18"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3.5" customHeight="1" s="31">
      <c r="A674" s="18" t="n"/>
      <c r="B674" s="18"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3.5" customHeight="1" s="31">
      <c r="A675" s="18" t="n"/>
      <c r="B675" s="18"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3.5" customHeight="1" s="31">
      <c r="A676" s="18" t="n"/>
      <c r="B676" s="18"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3.5" customHeight="1" s="31">
      <c r="A677" s="18" t="n"/>
      <c r="B677" s="18"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3.5" customHeight="1" s="31">
      <c r="A678" s="18" t="n"/>
      <c r="B678" s="18"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3.5" customHeight="1" s="31">
      <c r="A679" s="18" t="n"/>
      <c r="B679" s="18"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3.5" customHeight="1" s="31">
      <c r="A680" s="18" t="n"/>
      <c r="B680" s="18"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3.5" customHeight="1" s="31">
      <c r="A681" s="18" t="n"/>
      <c r="B681" s="18"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3.5" customHeight="1" s="31">
      <c r="A682" s="18" t="n"/>
      <c r="B682" s="18"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3.5" customHeight="1" s="31">
      <c r="A683" s="18" t="n"/>
      <c r="B683" s="18"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3.5" customHeight="1" s="31">
      <c r="A684" s="18" t="n"/>
      <c r="B684" s="18"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3.5" customHeight="1" s="31">
      <c r="A685" s="18" t="n"/>
      <c r="B685" s="18"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3.5" customHeight="1" s="31">
      <c r="A686" s="18" t="n"/>
      <c r="B686" s="18"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3.5" customHeight="1" s="31">
      <c r="A687" s="18" t="n"/>
      <c r="B687" s="18"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3.5" customHeight="1" s="31">
      <c r="A688" s="18" t="n"/>
      <c r="B688" s="18"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3.5" customHeight="1" s="31">
      <c r="A689" s="18" t="n"/>
      <c r="B689" s="18"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3.5" customHeight="1" s="31">
      <c r="A690" s="18" t="n"/>
      <c r="B690" s="18"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3.5" customHeight="1" s="31">
      <c r="A691" s="18" t="n"/>
      <c r="B691" s="18"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3.5" customHeight="1" s="31">
      <c r="A692" s="18" t="n"/>
      <c r="B692" s="18"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3.5" customHeight="1" s="31">
      <c r="A693" s="18" t="n"/>
      <c r="B693" s="18"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3.5" customHeight="1" s="31">
      <c r="A694" s="18" t="n"/>
      <c r="B694" s="18"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3.5" customHeight="1" s="31">
      <c r="A695" s="18" t="n"/>
      <c r="B695" s="18"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3.5" customHeight="1" s="31">
      <c r="A696" s="18" t="n"/>
      <c r="B696" s="18"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3.5" customHeight="1" s="31">
      <c r="A697" s="18" t="n"/>
      <c r="B697" s="18"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3.5" customHeight="1" s="31">
      <c r="A698" s="18" t="n"/>
      <c r="B698" s="18"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3.5" customHeight="1" s="31">
      <c r="A699" s="18" t="n"/>
      <c r="B699" s="18"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3.5" customHeight="1" s="31">
      <c r="A700" s="18" t="n"/>
      <c r="B700" s="18"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3.5" customHeight="1" s="31">
      <c r="A701" s="18" t="n"/>
      <c r="B701" s="18"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3.5" customHeight="1" s="31">
      <c r="A702" s="18" t="n"/>
      <c r="B702" s="18"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3.5" customHeight="1" s="31">
      <c r="A703" s="18" t="n"/>
      <c r="B703" s="18"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3.5" customHeight="1" s="31">
      <c r="A704" s="18" t="n"/>
      <c r="B704" s="18"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3.5" customHeight="1" s="31">
      <c r="A705" s="18" t="n"/>
      <c r="B705" s="18"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3.5" customHeight="1" s="31">
      <c r="A706" s="18" t="n"/>
      <c r="B706" s="18"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3.5" customHeight="1" s="31">
      <c r="A707" s="18" t="n"/>
      <c r="B707" s="18"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3.5" customHeight="1" s="31">
      <c r="A708" s="18" t="n"/>
      <c r="B708" s="18"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3.5" customHeight="1" s="31">
      <c r="A709" s="18" t="n"/>
      <c r="B709" s="18"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3.5" customHeight="1" s="31">
      <c r="A710" s="18" t="n"/>
      <c r="B710" s="18"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3.5" customHeight="1" s="31">
      <c r="A711" s="18" t="n"/>
      <c r="B711" s="18"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3.5" customHeight="1" s="31">
      <c r="A712" s="18" t="n"/>
      <c r="B712" s="18"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3.5" customHeight="1" s="31">
      <c r="A713" s="18" t="n"/>
      <c r="B713" s="18"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3.5" customHeight="1" s="31">
      <c r="A714" s="18" t="n"/>
      <c r="B714" s="18"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3.5" customHeight="1" s="31">
      <c r="A715" s="18" t="n"/>
      <c r="B715" s="18"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3.5" customHeight="1" s="31">
      <c r="A716" s="18" t="n"/>
      <c r="B716" s="18"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3.5" customHeight="1" s="31">
      <c r="A717" s="18" t="n"/>
      <c r="B717" s="18"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3.5" customHeight="1" s="31">
      <c r="A718" s="18" t="n"/>
      <c r="B718" s="18"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3.5" customHeight="1" s="31">
      <c r="A719" s="18" t="n"/>
      <c r="B719" s="18"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3.5" customHeight="1" s="31">
      <c r="A720" s="18" t="n"/>
      <c r="B720" s="18"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3.5" customHeight="1" s="31">
      <c r="A721" s="18" t="n"/>
      <c r="B721" s="18"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3.5" customHeight="1" s="31">
      <c r="A722" s="18" t="n"/>
      <c r="B722" s="18"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3.5" customHeight="1" s="31">
      <c r="A723" s="18" t="n"/>
      <c r="B723" s="18"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3.5" customHeight="1" s="31">
      <c r="A724" s="18" t="n"/>
      <c r="B724" s="18"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3.5" customHeight="1" s="31">
      <c r="A725" s="18" t="n"/>
      <c r="B725" s="18"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3.5" customHeight="1" s="31">
      <c r="A726" s="18" t="n"/>
      <c r="B726" s="18"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3.5" customHeight="1" s="31">
      <c r="A727" s="18" t="n"/>
      <c r="B727" s="18"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3.5" customHeight="1" s="31">
      <c r="A728" s="18" t="n"/>
      <c r="B728" s="18"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3.5" customHeight="1" s="31">
      <c r="A729" s="18" t="n"/>
      <c r="B729" s="18"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3.5" customHeight="1" s="31">
      <c r="A730" s="18" t="n"/>
      <c r="B730" s="18"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3.5" customHeight="1" s="31">
      <c r="A731" s="18" t="n"/>
      <c r="B731" s="18"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3.5" customHeight="1" s="31">
      <c r="A732" s="18" t="n"/>
      <c r="B732" s="18"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3.5" customHeight="1" s="31">
      <c r="A733" s="18" t="n"/>
      <c r="B733" s="18"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3.5" customHeight="1" s="31">
      <c r="A734" s="18" t="n"/>
      <c r="B734" s="18"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3.5" customHeight="1" s="31">
      <c r="A735" s="18" t="n"/>
      <c r="B735" s="18"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3.5" customHeight="1" s="31">
      <c r="A736" s="18" t="n"/>
      <c r="B736" s="18"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3.5" customHeight="1" s="31">
      <c r="A737" s="18" t="n"/>
      <c r="B737" s="18"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3.5" customHeight="1" s="31">
      <c r="A738" s="18" t="n"/>
      <c r="B738" s="18"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3.5" customHeight="1" s="31">
      <c r="A739" s="18" t="n"/>
      <c r="B739" s="18"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3.5" customHeight="1" s="31">
      <c r="A740" s="18" t="n"/>
      <c r="B740" s="18"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3.5" customHeight="1" s="31">
      <c r="A741" s="18" t="n"/>
      <c r="B741" s="18"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3.5" customHeight="1" s="31">
      <c r="A742" s="18" t="n"/>
      <c r="B742" s="18"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3.5" customHeight="1" s="31">
      <c r="A743" s="18" t="n"/>
      <c r="B743" s="18"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3.5" customHeight="1" s="31">
      <c r="A744" s="18" t="n"/>
      <c r="B744" s="18"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3.5" customHeight="1" s="31">
      <c r="A745" s="18" t="n"/>
      <c r="B745" s="18"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3.5" customHeight="1" s="31">
      <c r="A746" s="18" t="n"/>
      <c r="B746" s="18"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3.5" customHeight="1" s="31">
      <c r="A747" s="18" t="n"/>
      <c r="B747" s="18"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3.5" customHeight="1" s="31">
      <c r="A748" s="18" t="n"/>
      <c r="B748" s="18"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3.5" customHeight="1" s="31">
      <c r="A749" s="18" t="n"/>
      <c r="B749" s="18"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3.5" customHeight="1" s="31">
      <c r="A750" s="18" t="n"/>
      <c r="B750" s="18"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3.5" customHeight="1" s="31">
      <c r="A751" s="18" t="n"/>
      <c r="B751" s="18"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3.5" customHeight="1" s="31">
      <c r="A752" s="18" t="n"/>
      <c r="B752" s="18"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3.5" customHeight="1" s="31">
      <c r="A753" s="18" t="n"/>
      <c r="B753" s="18"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3.5" customHeight="1" s="31">
      <c r="A754" s="18" t="n"/>
      <c r="B754" s="18"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3.5" customHeight="1" s="31">
      <c r="A755" s="18" t="n"/>
      <c r="B755" s="18"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3.5" customHeight="1" s="31">
      <c r="A756" s="18" t="n"/>
      <c r="B756" s="18"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3.5" customHeight="1" s="31">
      <c r="A757" s="18" t="n"/>
      <c r="B757" s="18"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3.5" customHeight="1" s="31">
      <c r="A758" s="18" t="n"/>
      <c r="B758" s="18"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3.5" customHeight="1" s="31">
      <c r="A759" s="18" t="n"/>
      <c r="B759" s="18"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3.5" customHeight="1" s="31">
      <c r="A760" s="18" t="n"/>
      <c r="B760" s="18"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3.5" customHeight="1" s="31">
      <c r="A761" s="18" t="n"/>
      <c r="B761" s="18"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3.5" customHeight="1" s="31">
      <c r="A762" s="18" t="n"/>
      <c r="B762" s="18"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3.5" customHeight="1" s="31">
      <c r="A763" s="18" t="n"/>
      <c r="B763" s="18"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3.5" customHeight="1" s="31">
      <c r="A764" s="18" t="n"/>
      <c r="B764" s="18"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3.5" customHeight="1" s="31">
      <c r="A765" s="18" t="n"/>
      <c r="B765" s="18"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3.5" customHeight="1" s="31">
      <c r="A766" s="18" t="n"/>
      <c r="B766" s="18"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3.5" customHeight="1" s="31">
      <c r="A767" s="18" t="n"/>
      <c r="B767" s="18"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3.5" customHeight="1" s="31">
      <c r="A768" s="18" t="n"/>
      <c r="B768" s="18"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3.5" customHeight="1" s="31">
      <c r="A769" s="18" t="n"/>
      <c r="B769" s="18"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3.5" customHeight="1" s="31">
      <c r="A770" s="18" t="n"/>
      <c r="B770" s="18"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3.5" customHeight="1" s="31">
      <c r="A771" s="18" t="n"/>
      <c r="B771" s="18"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3.5" customHeight="1" s="31">
      <c r="A772" s="18" t="n"/>
      <c r="B772" s="18"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3.5" customHeight="1" s="31">
      <c r="A773" s="18" t="n"/>
      <c r="B773" s="18"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3.5" customHeight="1" s="31">
      <c r="A774" s="18" t="n"/>
      <c r="B774" s="18"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3.5" customHeight="1" s="31">
      <c r="A775" s="18" t="n"/>
      <c r="B775" s="18"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3.5" customHeight="1" s="31">
      <c r="A776" s="18" t="n"/>
      <c r="B776" s="18"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3.5" customHeight="1" s="31">
      <c r="A777" s="18" t="n"/>
      <c r="B777" s="18"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3.5" customHeight="1" s="31">
      <c r="A778" s="18" t="n"/>
      <c r="B778" s="18"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3.5" customHeight="1" s="31">
      <c r="A779" s="18" t="n"/>
      <c r="B779" s="18"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3.5" customHeight="1" s="31">
      <c r="A780" s="18" t="n"/>
      <c r="B780" s="18"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3.5" customHeight="1" s="31">
      <c r="A781" s="18" t="n"/>
      <c r="B781" s="18"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3.5" customHeight="1" s="31">
      <c r="A782" s="18" t="n"/>
      <c r="B782" s="18"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3.5" customHeight="1" s="31">
      <c r="A783" s="18" t="n"/>
      <c r="B783" s="18"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3.5" customHeight="1" s="31">
      <c r="A784" s="18" t="n"/>
      <c r="B784" s="18"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3.5" customHeight="1" s="31">
      <c r="A785" s="18" t="n"/>
      <c r="B785" s="18"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3.5" customHeight="1" s="31">
      <c r="A786" s="18" t="n"/>
      <c r="B786" s="18"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3.5" customHeight="1" s="31">
      <c r="A787" s="18" t="n"/>
      <c r="B787" s="18"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3.5" customHeight="1" s="31">
      <c r="A788" s="18" t="n"/>
      <c r="B788" s="18"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3.5" customHeight="1" s="31">
      <c r="A789" s="18" t="n"/>
      <c r="B789" s="18"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3.5" customHeight="1" s="31">
      <c r="A790" s="18" t="n"/>
      <c r="B790" s="18"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3.5" customHeight="1" s="31">
      <c r="A791" s="18" t="n"/>
      <c r="B791" s="18"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3.5" customHeight="1" s="31">
      <c r="A792" s="18" t="n"/>
      <c r="B792" s="18"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3.5" customHeight="1" s="31">
      <c r="A793" s="18" t="n"/>
      <c r="B793" s="18"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3.5" customHeight="1" s="31">
      <c r="A794" s="18" t="n"/>
      <c r="B794" s="18"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3.5" customHeight="1" s="31">
      <c r="A795" s="18" t="n"/>
      <c r="B795" s="18"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3.5" customHeight="1" s="31">
      <c r="A796" s="18" t="n"/>
      <c r="B796" s="18"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3.5" customHeight="1" s="31">
      <c r="A797" s="18" t="n"/>
      <c r="B797" s="18"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3.5" customHeight="1" s="31">
      <c r="A798" s="18" t="n"/>
      <c r="B798" s="18"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3.5" customHeight="1" s="31">
      <c r="A799" s="18" t="n"/>
      <c r="B799" s="18"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3.5" customHeight="1" s="31">
      <c r="A800" s="18" t="n"/>
      <c r="B800" s="18"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3.5" customHeight="1" s="31">
      <c r="A801" s="18" t="n"/>
      <c r="B801" s="18"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3.5" customHeight="1" s="31">
      <c r="A802" s="18" t="n"/>
      <c r="B802" s="18"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3.5" customHeight="1" s="31">
      <c r="A803" s="18" t="n"/>
      <c r="B803" s="18"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3.5" customHeight="1" s="31">
      <c r="A804" s="18" t="n"/>
      <c r="B804" s="18"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3.5" customHeight="1" s="31">
      <c r="A805" s="18" t="n"/>
      <c r="B805" s="18"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3.5" customHeight="1" s="31">
      <c r="A806" s="18" t="n"/>
      <c r="B806" s="18"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3.5" customHeight="1" s="31">
      <c r="A807" s="18" t="n"/>
      <c r="B807" s="18"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3.5" customHeight="1" s="31">
      <c r="A808" s="18" t="n"/>
      <c r="B808" s="18"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3.5" customHeight="1" s="31">
      <c r="A809" s="18" t="n"/>
      <c r="B809" s="18"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3.5" customHeight="1" s="31">
      <c r="A810" s="18" t="n"/>
      <c r="B810" s="18"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3.5" customHeight="1" s="31">
      <c r="A811" s="18" t="n"/>
      <c r="B811" s="18"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3.5" customHeight="1" s="31">
      <c r="A812" s="18" t="n"/>
      <c r="B812" s="18"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3.5" customHeight="1" s="31">
      <c r="A813" s="18" t="n"/>
      <c r="B813" s="18"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3.5" customHeight="1" s="31">
      <c r="A814" s="18" t="n"/>
      <c r="B814" s="18"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3.5" customHeight="1" s="31">
      <c r="A815" s="18" t="n"/>
      <c r="B815" s="18"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3.5" customHeight="1" s="31">
      <c r="A816" s="18" t="n"/>
      <c r="B816" s="18"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3.5" customHeight="1" s="31">
      <c r="A817" s="18" t="n"/>
      <c r="B817" s="18"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3.5" customHeight="1" s="31">
      <c r="A818" s="18" t="n"/>
      <c r="B818" s="18"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3.5" customHeight="1" s="31">
      <c r="A819" s="18" t="n"/>
      <c r="B819" s="18"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3.5" customHeight="1" s="31">
      <c r="A820" s="18" t="n"/>
      <c r="B820" s="18"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3.5" customHeight="1" s="31">
      <c r="A821" s="18" t="n"/>
      <c r="B821" s="18"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3.5" customHeight="1" s="31">
      <c r="A822" s="18" t="n"/>
      <c r="B822" s="18"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3.5" customHeight="1" s="31">
      <c r="A823" s="18" t="n"/>
      <c r="B823" s="18"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3.5" customHeight="1" s="31">
      <c r="A824" s="18" t="n"/>
      <c r="B824" s="18"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3.5" customHeight="1" s="31">
      <c r="A825" s="18" t="n"/>
      <c r="B825" s="18"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3.5" customHeight="1" s="31">
      <c r="A826" s="18" t="n"/>
      <c r="B826" s="18"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3.5" customHeight="1" s="31">
      <c r="A827" s="18" t="n"/>
      <c r="B827" s="18"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3.5" customHeight="1" s="31">
      <c r="A828" s="18" t="n"/>
      <c r="B828" s="18"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3.5" customHeight="1" s="31">
      <c r="A829" s="18" t="n"/>
      <c r="B829" s="18"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3.5" customHeight="1" s="31">
      <c r="A830" s="18" t="n"/>
      <c r="B830" s="18"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3.5" customHeight="1" s="31">
      <c r="A831" s="18" t="n"/>
      <c r="B831" s="18"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3.5" customHeight="1" s="31">
      <c r="A832" s="18" t="n"/>
      <c r="B832" s="18"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3.5" customHeight="1" s="31">
      <c r="A833" s="18" t="n"/>
      <c r="B833" s="18"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3.5" customHeight="1" s="31">
      <c r="A834" s="18" t="n"/>
      <c r="B834" s="18"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3.5" customHeight="1" s="31">
      <c r="A835" s="18" t="n"/>
      <c r="B835" s="18"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3.5" customHeight="1" s="31">
      <c r="A836" s="18" t="n"/>
      <c r="B836" s="18"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3.5" customHeight="1" s="31">
      <c r="A837" s="18" t="n"/>
      <c r="B837" s="18"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3.5" customHeight="1" s="31">
      <c r="A838" s="18" t="n"/>
      <c r="B838" s="18"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3.5" customHeight="1" s="31">
      <c r="A839" s="18" t="n"/>
      <c r="B839" s="18"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3.5" customHeight="1" s="31">
      <c r="A840" s="18" t="n"/>
      <c r="B840" s="18"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3.5" customHeight="1" s="31">
      <c r="A841" s="18" t="n"/>
      <c r="B841" s="18"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3.5" customHeight="1" s="31">
      <c r="A842" s="18" t="n"/>
      <c r="B842" s="18"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3.5" customHeight="1" s="31">
      <c r="A843" s="18" t="n"/>
      <c r="B843" s="18"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3.5" customHeight="1" s="31">
      <c r="A844" s="18" t="n"/>
      <c r="B844" s="18"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3.5" customHeight="1" s="31">
      <c r="A845" s="18" t="n"/>
      <c r="B845" s="18"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3.5" customHeight="1" s="31">
      <c r="A846" s="18" t="n"/>
      <c r="B846" s="18"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3.5" customHeight="1" s="31">
      <c r="A847" s="18" t="n"/>
      <c r="B847" s="18"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3.5" customHeight="1" s="31">
      <c r="A848" s="18" t="n"/>
      <c r="B848" s="18"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3.5" customHeight="1" s="31">
      <c r="A849" s="18" t="n"/>
      <c r="B849" s="18"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3.5" customHeight="1" s="31">
      <c r="A850" s="18" t="n"/>
      <c r="B850" s="18"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3.5" customHeight="1" s="31">
      <c r="A851" s="18" t="n"/>
      <c r="B851" s="18"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3.5" customHeight="1" s="31">
      <c r="A852" s="18" t="n"/>
      <c r="B852" s="18"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3.5" customHeight="1" s="31">
      <c r="A853" s="18" t="n"/>
      <c r="B853" s="18"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3.5" customHeight="1" s="31">
      <c r="A854" s="18" t="n"/>
      <c r="B854" s="18"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3.5" customHeight="1" s="31">
      <c r="A855" s="18" t="n"/>
      <c r="B855" s="18"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3.5" customHeight="1" s="31">
      <c r="A856" s="18" t="n"/>
      <c r="B856" s="18"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3.5" customHeight="1" s="31">
      <c r="A857" s="18" t="n"/>
      <c r="B857" s="18"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3.5" customHeight="1" s="31">
      <c r="A858" s="18" t="n"/>
      <c r="B858" s="18"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3.5" customHeight="1" s="31">
      <c r="A859" s="18" t="n"/>
      <c r="B859" s="18"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3.5" customHeight="1" s="31">
      <c r="A860" s="18" t="n"/>
      <c r="B860" s="18"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3.5" customHeight="1" s="31">
      <c r="A861" s="18" t="n"/>
      <c r="B861" s="18"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3.5" customHeight="1" s="31">
      <c r="A862" s="18" t="n"/>
      <c r="B862" s="18"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3.5" customHeight="1" s="31">
      <c r="A863" s="18" t="n"/>
      <c r="B863" s="18"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3.5" customHeight="1" s="31">
      <c r="A864" s="18" t="n"/>
      <c r="B864" s="18"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3.5" customHeight="1" s="31">
      <c r="A865" s="18" t="n"/>
      <c r="B865" s="18"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3.5" customHeight="1" s="31">
      <c r="A866" s="18" t="n"/>
      <c r="B866" s="18"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3.5" customHeight="1" s="31">
      <c r="A867" s="18" t="n"/>
      <c r="B867" s="18"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3.5" customHeight="1" s="31">
      <c r="A868" s="18" t="n"/>
      <c r="B868" s="18"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3.5" customHeight="1" s="31">
      <c r="A869" s="18" t="n"/>
      <c r="B869" s="18"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3.5" customHeight="1" s="31">
      <c r="A870" s="18" t="n"/>
      <c r="B870" s="18"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3.5" customHeight="1" s="31">
      <c r="A871" s="18" t="n"/>
      <c r="B871" s="18"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3.5" customHeight="1" s="31">
      <c r="A872" s="18" t="n"/>
      <c r="B872" s="18"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3.5" customHeight="1" s="31">
      <c r="A873" s="18" t="n"/>
      <c r="B873" s="18"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3.5" customHeight="1" s="31">
      <c r="A874" s="18" t="n"/>
      <c r="B874" s="18"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3.5" customHeight="1" s="31">
      <c r="A875" s="18" t="n"/>
      <c r="B875" s="18"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3.5" customHeight="1" s="31">
      <c r="A876" s="18" t="n"/>
      <c r="B876" s="18"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3.5" customHeight="1" s="31">
      <c r="A877" s="18" t="n"/>
      <c r="B877" s="18"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3.5" customHeight="1" s="31">
      <c r="A878" s="18" t="n"/>
      <c r="B878" s="18"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3.5" customHeight="1" s="31">
      <c r="A879" s="18" t="n"/>
      <c r="B879" s="18"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3.5" customHeight="1" s="31">
      <c r="A880" s="18" t="n"/>
      <c r="B880" s="18"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3.5" customHeight="1" s="31">
      <c r="A881" s="18" t="n"/>
      <c r="B881" s="18"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3.5" customHeight="1" s="31">
      <c r="A882" s="18" t="n"/>
      <c r="B882" s="18"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3.5" customHeight="1" s="31">
      <c r="A883" s="18" t="n"/>
      <c r="B883" s="18"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3.5" customHeight="1" s="31">
      <c r="A884" s="18" t="n"/>
      <c r="B884" s="18"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3.5" customHeight="1" s="31">
      <c r="A885" s="18" t="n"/>
      <c r="B885" s="18"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3.5" customHeight="1" s="31">
      <c r="A886" s="18" t="n"/>
      <c r="B886" s="18"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3.5" customHeight="1" s="31">
      <c r="A887" s="18" t="n"/>
      <c r="B887" s="18"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3.5" customHeight="1" s="31">
      <c r="A888" s="18" t="n"/>
      <c r="B888" s="18"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3.5" customHeight="1" s="31">
      <c r="A889" s="18" t="n"/>
      <c r="B889" s="18"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3.5" customHeight="1" s="31">
      <c r="A890" s="18" t="n"/>
      <c r="B890" s="18"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3.5" customHeight="1" s="31">
      <c r="A891" s="18" t="n"/>
      <c r="B891" s="18"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3.5" customHeight="1" s="31">
      <c r="A892" s="18" t="n"/>
      <c r="B892" s="18"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3.5" customHeight="1" s="31">
      <c r="A893" s="18" t="n"/>
      <c r="B893" s="18"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3.5" customHeight="1" s="31">
      <c r="A894" s="18" t="n"/>
      <c r="B894" s="18"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3.5" customHeight="1" s="31">
      <c r="A895" s="18" t="n"/>
      <c r="B895" s="18"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3.5" customHeight="1" s="31">
      <c r="A896" s="18" t="n"/>
      <c r="B896" s="18"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3.5" customHeight="1" s="31">
      <c r="A897" s="18" t="n"/>
      <c r="B897" s="18"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3.5" customHeight="1" s="31">
      <c r="A898" s="18" t="n"/>
      <c r="B898" s="18"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3.5" customHeight="1" s="31">
      <c r="A899" s="18" t="n"/>
      <c r="B899" s="18"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3.5" customHeight="1" s="31">
      <c r="A900" s="18" t="n"/>
      <c r="B900" s="18"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3.5" customHeight="1" s="31">
      <c r="A901" s="18" t="n"/>
      <c r="B901" s="18"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3.5" customHeight="1" s="31">
      <c r="A902" s="18" t="n"/>
      <c r="B902" s="18"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3.5" customHeight="1" s="31">
      <c r="A903" s="18" t="n"/>
      <c r="B903" s="18"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3.5" customHeight="1" s="31">
      <c r="A904" s="18" t="n"/>
      <c r="B904" s="18"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3.5" customHeight="1" s="31">
      <c r="A905" s="18" t="n"/>
      <c r="B905" s="18"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3.5" customHeight="1" s="31">
      <c r="A906" s="18" t="n"/>
      <c r="B906" s="18"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3.5" customHeight="1" s="31">
      <c r="A907" s="18" t="n"/>
      <c r="B907" s="18"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3.5" customHeight="1" s="31">
      <c r="A908" s="18" t="n"/>
      <c r="B908" s="18"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3.5" customHeight="1" s="31">
      <c r="A909" s="18" t="n"/>
      <c r="B909" s="18"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3.5" customHeight="1" s="31">
      <c r="A910" s="18" t="n"/>
      <c r="B910" s="18"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3.5" customHeight="1" s="31">
      <c r="A911" s="18" t="n"/>
      <c r="B911" s="18"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3.5" customHeight="1" s="31">
      <c r="A912" s="18" t="n"/>
      <c r="B912" s="18"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3.5" customHeight="1" s="31">
      <c r="A913" s="18" t="n"/>
      <c r="B913" s="18"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3.5" customHeight="1" s="31">
      <c r="A914" s="18" t="n"/>
      <c r="B914" s="18"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3.5" customHeight="1" s="31">
      <c r="A915" s="18" t="n"/>
      <c r="B915" s="18"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3.5" customHeight="1" s="31">
      <c r="A916" s="18" t="n"/>
      <c r="B916" s="18"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3.5" customHeight="1" s="31">
      <c r="A917" s="18" t="n"/>
      <c r="B917" s="18"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3.5" customHeight="1" s="31">
      <c r="A918" s="18" t="n"/>
      <c r="B918" s="18"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3.5" customHeight="1" s="31">
      <c r="A919" s="18" t="n"/>
      <c r="B919" s="18"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3.5" customHeight="1" s="31">
      <c r="A920" s="18" t="n"/>
      <c r="B920" s="18"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3.5" customHeight="1" s="31">
      <c r="A921" s="18" t="n"/>
      <c r="B921" s="18"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3.5" customHeight="1" s="31">
      <c r="A922" s="18" t="n"/>
      <c r="B922" s="18"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3.5" customHeight="1" s="31">
      <c r="A923" s="18" t="n"/>
      <c r="B923" s="18"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3.5" customHeight="1" s="31">
      <c r="A924" s="18" t="n"/>
      <c r="B924" s="18"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3.5" customHeight="1" s="31">
      <c r="A925" s="18" t="n"/>
      <c r="B925" s="18"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3.5" customHeight="1" s="31">
      <c r="A926" s="18" t="n"/>
      <c r="B926" s="18"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3.5" customHeight="1" s="31">
      <c r="A927" s="18" t="n"/>
      <c r="B927" s="18"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3.5" customHeight="1" s="31">
      <c r="A928" s="18" t="n"/>
      <c r="B928" s="18"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3.5" customHeight="1" s="31">
      <c r="A929" s="18" t="n"/>
      <c r="B929" s="18"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3.5" customHeight="1" s="31">
      <c r="A930" s="18" t="n"/>
      <c r="B930" s="18"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3.5" customHeight="1" s="31">
      <c r="A931" s="18" t="n"/>
      <c r="B931" s="18"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3.5" customHeight="1" s="31">
      <c r="A932" s="18" t="n"/>
      <c r="B932" s="18"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3.5" customHeight="1" s="31">
      <c r="A933" s="18" t="n"/>
      <c r="B933" s="18"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3.5" customHeight="1" s="31">
      <c r="A934" s="18" t="n"/>
      <c r="B934" s="18"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3.5" customHeight="1" s="31">
      <c r="A935" s="18" t="n"/>
      <c r="B935" s="18"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3.5" customHeight="1" s="31">
      <c r="A936" s="18" t="n"/>
      <c r="B936" s="18"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3.5" customHeight="1" s="31">
      <c r="A937" s="18" t="n"/>
      <c r="B937" s="18"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3.5" customHeight="1" s="31">
      <c r="A938" s="18" t="n"/>
      <c r="B938" s="18"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3.5" customHeight="1" s="31">
      <c r="A939" s="18" t="n"/>
      <c r="B939" s="18"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3.5" customHeight="1" s="31">
      <c r="A940" s="18" t="n"/>
      <c r="B940" s="18"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3.5" customHeight="1" s="31">
      <c r="A941" s="18" t="n"/>
      <c r="B941" s="18"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3.5" customHeight="1" s="31">
      <c r="A942" s="18" t="n"/>
      <c r="B942" s="18"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3.5" customHeight="1" s="31">
      <c r="A943" s="18" t="n"/>
      <c r="B943" s="18"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3.5" customHeight="1" s="31">
      <c r="A944" s="18" t="n"/>
      <c r="B944" s="18"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3.5" customHeight="1" s="31">
      <c r="A945" s="18" t="n"/>
      <c r="B945" s="18"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3.5" customHeight="1" s="31">
      <c r="A946" s="18" t="n"/>
      <c r="B946" s="18"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3.5" customHeight="1" s="31">
      <c r="A947" s="18" t="n"/>
      <c r="B947" s="18"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3.5" customHeight="1" s="31">
      <c r="A948" s="18" t="n"/>
      <c r="B948" s="18"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3.5" customHeight="1" s="31">
      <c r="A949" s="18" t="n"/>
      <c r="B949" s="18"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3.5" customHeight="1" s="31">
      <c r="A950" s="18" t="n"/>
      <c r="B950" s="18"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3.5" customHeight="1" s="31">
      <c r="A951" s="18" t="n"/>
      <c r="B951" s="18"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3.5" customHeight="1" s="31">
      <c r="A952" s="18" t="n"/>
      <c r="B952" s="18"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3.5" customHeight="1" s="31">
      <c r="A953" s="18" t="n"/>
      <c r="B953" s="18"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3.5" customHeight="1" s="31">
      <c r="A954" s="18" t="n"/>
      <c r="B954" s="18"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3.5" customHeight="1" s="31">
      <c r="A955" s="18" t="n"/>
      <c r="B955" s="18"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3.5" customHeight="1" s="31">
      <c r="A956" s="18" t="n"/>
      <c r="B956" s="18"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3.5" customHeight="1" s="31">
      <c r="A957" s="18" t="n"/>
      <c r="B957" s="18"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3.5" customHeight="1" s="31">
      <c r="A958" s="18" t="n"/>
      <c r="B958" s="18"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3.5" customHeight="1" s="31">
      <c r="A959" s="18" t="n"/>
      <c r="B959" s="18"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3.5" customHeight="1" s="31">
      <c r="A960" s="18" t="n"/>
      <c r="B960" s="18"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3.5" customHeight="1" s="31">
      <c r="A961" s="18" t="n"/>
      <c r="B961" s="18"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3.5" customHeight="1" s="31">
      <c r="A962" s="18" t="n"/>
      <c r="B962" s="18"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3.5" customHeight="1" s="31">
      <c r="A963" s="18" t="n"/>
      <c r="B963" s="18"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3.5" customHeight="1" s="31">
      <c r="A964" s="18" t="n"/>
      <c r="B964" s="18"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3.5" customHeight="1" s="31">
      <c r="A965" s="18" t="n"/>
      <c r="B965" s="18"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3.5" customHeight="1" s="31">
      <c r="A966" s="18" t="n"/>
      <c r="B966" s="18"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3.5" customHeight="1" s="31">
      <c r="A967" s="18" t="n"/>
      <c r="B967" s="18"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3.5" customHeight="1" s="31">
      <c r="A968" s="18" t="n"/>
      <c r="B968" s="18"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3.5" customHeight="1" s="31">
      <c r="A969" s="18" t="n"/>
      <c r="B969" s="18"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3.5" customHeight="1" s="31">
      <c r="A970" s="18" t="n"/>
      <c r="B970" s="18"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3.5" customHeight="1" s="31">
      <c r="A971" s="18" t="n"/>
      <c r="B971" s="18"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3.5" customHeight="1" s="31">
      <c r="A972" s="18" t="n"/>
      <c r="B972" s="18"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3.5" customHeight="1" s="31">
      <c r="A973" s="18" t="n"/>
      <c r="B973" s="18"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3.5" customHeight="1" s="31">
      <c r="A974" s="18" t="n"/>
      <c r="B974" s="18"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3.5" customHeight="1" s="31">
      <c r="A975" s="18" t="n"/>
      <c r="B975" s="18"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3.5" customHeight="1" s="31">
      <c r="A976" s="18" t="n"/>
      <c r="B976" s="18"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3.5" customHeight="1" s="31">
      <c r="A977" s="18" t="n"/>
      <c r="B977" s="18"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3.5" customHeight="1" s="31">
      <c r="A978" s="18" t="n"/>
      <c r="B978" s="18"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3.5" customHeight="1" s="31">
      <c r="A979" s="18" t="n"/>
      <c r="B979" s="18"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3.5" customHeight="1" s="31">
      <c r="A980" s="18" t="n"/>
      <c r="B980" s="18"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3.5" customHeight="1" s="31">
      <c r="A981" s="18" t="n"/>
      <c r="B981" s="18"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3.5" customHeight="1" s="31">
      <c r="A982" s="18" t="n"/>
      <c r="B982" s="18"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3.5" customHeight="1" s="31">
      <c r="A983" s="18" t="n"/>
      <c r="B983" s="18"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3.5" customHeight="1" s="31">
      <c r="A984" s="18" t="n"/>
      <c r="B984" s="18"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3.5" customHeight="1" s="31">
      <c r="A985" s="18" t="n"/>
      <c r="B985" s="18"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3.5" customHeight="1" s="31">
      <c r="A986" s="18" t="n"/>
      <c r="B986" s="18"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3.5" customHeight="1" s="31">
      <c r="A987" s="18" t="n"/>
      <c r="B987" s="18"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3.5" customHeight="1" s="31">
      <c r="A988" s="18" t="n"/>
      <c r="B988" s="18"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3.5" customHeight="1" s="31">
      <c r="A989" s="18" t="n"/>
      <c r="B989" s="18"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3.5" customHeight="1" s="31">
      <c r="A990" s="18" t="n"/>
      <c r="B990" s="18"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3.5" customHeight="1" s="31">
      <c r="A991" s="18" t="n"/>
      <c r="B991" s="18"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3.5" customHeight="1" s="31">
      <c r="A992" s="18" t="n"/>
      <c r="B992" s="18"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3.5" customHeight="1" s="31">
      <c r="A993" s="18" t="n"/>
      <c r="B993" s="18"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3.5" customHeight="1" s="31">
      <c r="A994" s="18" t="n"/>
      <c r="B994" s="18"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3.5" customHeight="1" s="31">
      <c r="A995" s="18" t="n"/>
      <c r="B995" s="18"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3.5" customHeight="1" s="31">
      <c r="A996" s="18" t="n"/>
      <c r="B996" s="18"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3.5" customHeight="1" s="31">
      <c r="A997" s="18" t="n"/>
      <c r="B997" s="18"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3.5" customHeight="1" s="31">
      <c r="A998" s="18" t="n"/>
      <c r="B998" s="18"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3.5" customHeight="1" s="31">
      <c r="A999" s="18" t="n"/>
      <c r="B999" s="18" t="n"/>
      <c r="C999" s="7"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3.5" customHeight="1" s="31">
      <c r="A1000" s="18" t="n"/>
      <c r="B1000" s="18"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sheetData>
  <mergeCells count="239">
    <mergeCell ref="D20:E20"/>
    <mergeCell ref="Q14:S14"/>
    <mergeCell ref="H10:I10"/>
    <mergeCell ref="A89:C89"/>
    <mergeCell ref="J10:K10"/>
    <mergeCell ref="P85:Q85"/>
    <mergeCell ref="F19:J19"/>
    <mergeCell ref="A81:D81"/>
    <mergeCell ref="A91:S91"/>
    <mergeCell ref="D22:E22"/>
    <mergeCell ref="D31:E31"/>
    <mergeCell ref="M81:O81"/>
    <mergeCell ref="D45:E45"/>
    <mergeCell ref="P84:Q84"/>
    <mergeCell ref="A13:D13"/>
    <mergeCell ref="R84:S84"/>
    <mergeCell ref="O97:S97"/>
    <mergeCell ref="A93:S93"/>
    <mergeCell ref="D88:S88"/>
    <mergeCell ref="G81:J81"/>
    <mergeCell ref="L9:N9"/>
    <mergeCell ref="O1:P1"/>
    <mergeCell ref="P80:Q80"/>
    <mergeCell ref="R80:S80"/>
    <mergeCell ref="D48:E48"/>
    <mergeCell ref="F45:S45"/>
    <mergeCell ref="F33:S33"/>
    <mergeCell ref="I66:S66"/>
    <mergeCell ref="H95:J95"/>
    <mergeCell ref="D90:S90"/>
    <mergeCell ref="A1:C4"/>
    <mergeCell ref="D66:H70"/>
    <mergeCell ref="A6:S6"/>
    <mergeCell ref="F47:S47"/>
    <mergeCell ref="I68:S68"/>
    <mergeCell ref="H97:J97"/>
    <mergeCell ref="G82:J82"/>
    <mergeCell ref="D95:G95"/>
    <mergeCell ref="A77:C77"/>
    <mergeCell ref="I55:S55"/>
    <mergeCell ref="A38:C42"/>
    <mergeCell ref="A78:S78"/>
    <mergeCell ref="F46:S46"/>
    <mergeCell ref="F31:S31"/>
    <mergeCell ref="F28:S28"/>
    <mergeCell ref="N11:S11"/>
    <mergeCell ref="D4:N4"/>
    <mergeCell ref="D76:S76"/>
    <mergeCell ref="O2:P2"/>
    <mergeCell ref="D24:E24"/>
    <mergeCell ref="D97:G97"/>
    <mergeCell ref="F39:S39"/>
    <mergeCell ref="D33:E33"/>
    <mergeCell ref="D51:E51"/>
    <mergeCell ref="F48:S48"/>
    <mergeCell ref="I13:J13"/>
    <mergeCell ref="A12:S12"/>
    <mergeCell ref="A9:B9"/>
    <mergeCell ref="K13:L13"/>
    <mergeCell ref="K21:S21"/>
    <mergeCell ref="A85:D85"/>
    <mergeCell ref="D26:E26"/>
    <mergeCell ref="R82:S82"/>
    <mergeCell ref="A5:S5"/>
    <mergeCell ref="D19:E19"/>
    <mergeCell ref="D34:E34"/>
    <mergeCell ref="M84:O84"/>
    <mergeCell ref="A11:B11"/>
    <mergeCell ref="L8:N8"/>
    <mergeCell ref="G85:J85"/>
    <mergeCell ref="E14:F14"/>
    <mergeCell ref="D98:G98"/>
    <mergeCell ref="O9:S9"/>
    <mergeCell ref="I61:S61"/>
    <mergeCell ref="G84:J84"/>
    <mergeCell ref="I70:S70"/>
    <mergeCell ref="M80:O80"/>
    <mergeCell ref="F21:J21"/>
    <mergeCell ref="D89:S89"/>
    <mergeCell ref="I57:S57"/>
    <mergeCell ref="L10:N10"/>
    <mergeCell ref="I72:S72"/>
    <mergeCell ref="C8:K8"/>
    <mergeCell ref="J36:K36"/>
    <mergeCell ref="K95:N95"/>
    <mergeCell ref="M13:N13"/>
    <mergeCell ref="F50:S50"/>
    <mergeCell ref="I56:S56"/>
    <mergeCell ref="I71:S71"/>
    <mergeCell ref="D47:E47"/>
    <mergeCell ref="I58:S58"/>
    <mergeCell ref="K19:S19"/>
    <mergeCell ref="O95:S95"/>
    <mergeCell ref="Q13:S13"/>
    <mergeCell ref="F22:J22"/>
    <mergeCell ref="A8:B8"/>
    <mergeCell ref="D39:E39"/>
    <mergeCell ref="R81:S81"/>
    <mergeCell ref="K96:N96"/>
    <mergeCell ref="D55:H55"/>
    <mergeCell ref="D29:E29"/>
    <mergeCell ref="D17:S17"/>
    <mergeCell ref="A79:F79"/>
    <mergeCell ref="D38:E38"/>
    <mergeCell ref="A30:C34"/>
    <mergeCell ref="D23:E23"/>
    <mergeCell ref="A18:S18"/>
    <mergeCell ref="N53:S53"/>
    <mergeCell ref="I59:S59"/>
    <mergeCell ref="F49:S49"/>
    <mergeCell ref="A7:C7"/>
    <mergeCell ref="A86:S86"/>
    <mergeCell ref="K98:N98"/>
    <mergeCell ref="I60:S60"/>
    <mergeCell ref="A16:C16"/>
    <mergeCell ref="E2:N2"/>
    <mergeCell ref="I69:S69"/>
    <mergeCell ref="M36:P36"/>
    <mergeCell ref="H98:J98"/>
    <mergeCell ref="F29:S29"/>
    <mergeCell ref="Q10:S10"/>
    <mergeCell ref="I53:K53"/>
    <mergeCell ref="D92:S92"/>
    <mergeCell ref="F40:S40"/>
    <mergeCell ref="D52:E52"/>
    <mergeCell ref="M85:O85"/>
    <mergeCell ref="A83:D83"/>
    <mergeCell ref="D49:E49"/>
    <mergeCell ref="D27:E27"/>
    <mergeCell ref="F24:S24"/>
    <mergeCell ref="Q36:S36"/>
    <mergeCell ref="K23:S23"/>
    <mergeCell ref="E13:F13"/>
    <mergeCell ref="F51:S51"/>
    <mergeCell ref="G13:H13"/>
    <mergeCell ref="R83:S83"/>
    <mergeCell ref="A15:S15"/>
    <mergeCell ref="A36:C37"/>
    <mergeCell ref="F32:S32"/>
    <mergeCell ref="F26:S26"/>
    <mergeCell ref="F41:S41"/>
    <mergeCell ref="P83:Q83"/>
    <mergeCell ref="P82:Q82"/>
    <mergeCell ref="F23:J23"/>
    <mergeCell ref="R85:S85"/>
    <mergeCell ref="I62:S62"/>
    <mergeCell ref="F38:S38"/>
    <mergeCell ref="D28:E28"/>
    <mergeCell ref="F53:H53"/>
    <mergeCell ref="O94:S94"/>
    <mergeCell ref="A54:S54"/>
    <mergeCell ref="E1:N1"/>
    <mergeCell ref="D71:H75"/>
    <mergeCell ref="A80:D80"/>
    <mergeCell ref="D25:E25"/>
    <mergeCell ref="F27:S27"/>
    <mergeCell ref="I64:S64"/>
    <mergeCell ref="A19:C23"/>
    <mergeCell ref="F52:S52"/>
    <mergeCell ref="D30:E30"/>
    <mergeCell ref="I73:S73"/>
    <mergeCell ref="A88:C88"/>
    <mergeCell ref="L11:M11"/>
    <mergeCell ref="I63:S63"/>
    <mergeCell ref="A48:C52"/>
    <mergeCell ref="D16:S16"/>
    <mergeCell ref="G80:J80"/>
    <mergeCell ref="M82:O82"/>
    <mergeCell ref="A14:D14"/>
    <mergeCell ref="K20:S20"/>
    <mergeCell ref="A55:C75"/>
    <mergeCell ref="A90:C90"/>
    <mergeCell ref="A94:C98"/>
    <mergeCell ref="O96:S96"/>
    <mergeCell ref="I65:S65"/>
    <mergeCell ref="K97:N97"/>
    <mergeCell ref="F44:S44"/>
    <mergeCell ref="I74:S74"/>
    <mergeCell ref="H94:J94"/>
    <mergeCell ref="O10:P10"/>
    <mergeCell ref="F34:S34"/>
    <mergeCell ref="C9:K9"/>
    <mergeCell ref="D46:E46"/>
    <mergeCell ref="J37:K37"/>
    <mergeCell ref="K22:S22"/>
    <mergeCell ref="D40:E40"/>
    <mergeCell ref="A35:S35"/>
    <mergeCell ref="F25:S25"/>
    <mergeCell ref="O98:S98"/>
    <mergeCell ref="Q1:S1"/>
    <mergeCell ref="D21:E21"/>
    <mergeCell ref="D94:G94"/>
    <mergeCell ref="A76:C76"/>
    <mergeCell ref="C11:K11"/>
    <mergeCell ref="D3:N3"/>
    <mergeCell ref="F30:S30"/>
    <mergeCell ref="P81:Q81"/>
    <mergeCell ref="F20:J20"/>
    <mergeCell ref="A17:C17"/>
    <mergeCell ref="A82:D82"/>
    <mergeCell ref="G79:L79"/>
    <mergeCell ref="D32:E32"/>
    <mergeCell ref="H96:J96"/>
    <mergeCell ref="A53:C53"/>
    <mergeCell ref="D41:E41"/>
    <mergeCell ref="I75:S75"/>
    <mergeCell ref="F42:S42"/>
    <mergeCell ref="A24:C29"/>
    <mergeCell ref="Q2:S2"/>
    <mergeCell ref="A10:C10"/>
    <mergeCell ref="D61:H65"/>
    <mergeCell ref="O3:P4"/>
    <mergeCell ref="M79:S79"/>
    <mergeCell ref="D43:E43"/>
    <mergeCell ref="D96:G96"/>
    <mergeCell ref="A92:C92"/>
    <mergeCell ref="G14:H14"/>
    <mergeCell ref="I67:S67"/>
    <mergeCell ref="A87:S87"/>
    <mergeCell ref="D77:S77"/>
    <mergeCell ref="K94:N94"/>
    <mergeCell ref="M83:O83"/>
    <mergeCell ref="A43:C47"/>
    <mergeCell ref="A84:D84"/>
    <mergeCell ref="I14:J14"/>
    <mergeCell ref="K14:L14"/>
    <mergeCell ref="O8:S8"/>
    <mergeCell ref="D56:H60"/>
    <mergeCell ref="Q37:S37"/>
    <mergeCell ref="D42:E42"/>
    <mergeCell ref="F43:S43"/>
    <mergeCell ref="G83:J83"/>
    <mergeCell ref="M14:N14"/>
    <mergeCell ref="O14:P14"/>
    <mergeCell ref="D50:E50"/>
    <mergeCell ref="D7:S7"/>
    <mergeCell ref="D44:E44"/>
    <mergeCell ref="M37:P37"/>
    <mergeCell ref="O13:P13"/>
  </mergeCells>
  <conditionalFormatting sqref="A36:C37">
    <cfRule type="expression" priority="1" dxfId="7">
      <formula>$T$36&gt;2</formula>
    </cfRule>
    <cfRule type="expression" priority="2" dxfId="0">
      <formula>$T$36=0</formula>
    </cfRule>
  </conditionalFormatting>
  <conditionalFormatting sqref="G13">
    <cfRule type="expression" priority="3" dxfId="3">
      <formula>$A$14="Práctica"</formula>
    </cfRule>
  </conditionalFormatting>
  <conditionalFormatting sqref="G14:H14">
    <cfRule type="expression" priority="4" dxfId="1">
      <formula>$A$14="Práctica"</formula>
    </cfRule>
  </conditionalFormatting>
  <conditionalFormatting sqref="I13">
    <cfRule type="expression" priority="5" dxfId="3">
      <formula>$A$14="Teórica"</formula>
    </cfRule>
  </conditionalFormatting>
  <conditionalFormatting sqref="I14:J14">
    <cfRule type="expression" priority="6" dxfId="1">
      <formula>$A$14="Teórica"</formula>
    </cfRule>
  </conditionalFormatting>
  <conditionalFormatting sqref="O13:P14">
    <cfRule type="expression" priority="7" dxfId="1">
      <formula>$L$10="Presencial"</formula>
    </cfRule>
  </conditionalFormatting>
  <conditionalFormatting sqref="Q14:S14">
    <cfRule type="expression" priority="8" dxfId="0">
      <formula>$Q$14&lt;&gt;($K$14+$M$14+$O$14)</formula>
    </cfRule>
  </conditionalFormatting>
  <dataValidations count="3">
    <dataValidation sqref="G10" showDropDown="0" showInputMessage="1" showErrorMessage="1" allowBlank="1" prompt="Nivel de formación - Marque con una X si el presente microcurrículo aplica para el nivel de formación Maestría." type="custom">
      <formula1>IF(OR(G10="X",G10="x"),TRUE,FALSE)</formula1>
    </dataValidation>
    <dataValidation sqref="E10" showDropDown="0" showInputMessage="1" showErrorMessage="1" allowBlank="1" prompt="Nivel de formación - Marque con una X si el presente microcurrículo aplica para el nivel de formación Especialización." type="custom">
      <formula1>IF(OR(E10="X",E10="x"),TRUE,FALSE)</formula1>
    </dataValidation>
    <dataValidation sqref="E36:E37 G36:G37 I36:I37 L36:L37 Q36:Q37" showDropDown="0" showInputMessage="1" showErrorMessage="1" allowBlank="1" prompt="Debe usar únicamente la letra X en formato mayúscula o minúscula para identificar la alternativa a seleccionar." type="custom">
      <formula1>IF(OR(E36="X",E36="x"),TRUE,FALSE)</formula1>
    </dataValidation>
  </dataValidations>
  <pageMargins left="0.7" right="0.7" top="0.75" bottom="0.75" header="0" footer="0"/>
  <pageSetup orientation="portrait" scale="1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Lorena María Vargas Díaz (lorena.vargas)</dc:creator>
  <dcterms:created xmlns:dcterms="http://purl.org/dc/terms/" xmlns:xsi="http://www.w3.org/2001/XMLSchema-instance" xsi:type="dcterms:W3CDTF">2026-03-17T14:15:19Z</dcterms:created>
  <dcterms:modified xmlns:dcterms="http://purl.org/dc/terms/" xmlns:xsi="http://www.w3.org/2001/XMLSchema-instance" xsi:type="dcterms:W3CDTF">2026-08-11T15:29:28Z</dcterms:modified>
  <cp:lastModifiedBy>Lorena María Vargas Díaz (lorena.vargas)</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0x010100E2AC4C3D89A286478082A7EEADD1FA05</vt:lpwstr>
  </property>
</Properties>
</file>